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C:\Users\ansy6\OneDrive\바탕 화면\정리-LATEX 2020.12.24 목\work\"/>
    </mc:Choice>
  </mc:AlternateContent>
  <xr:revisionPtr revIDLastSave="0" documentId="13_ncr:1_{CBC2B1FB-089E-4B8C-9494-66921695629E}" xr6:coauthVersionLast="45" xr6:coauthVersionMax="45" xr10:uidLastSave="{00000000-0000-0000-0000-000000000000}"/>
  <bookViews>
    <workbookView xWindow="-120" yWindow="-120" windowWidth="25440" windowHeight="15390" activeTab="4" xr2:uid="{00000000-000D-0000-FFFF-FFFF00000000}"/>
  </bookViews>
  <sheets>
    <sheet name="개정이력" sheetId="7" r:id="rId1"/>
    <sheet name="Sheet1" sheetId="1" r:id="rId2"/>
    <sheet name="Sheet1 (2)" sheetId="2" r:id="rId3"/>
    <sheet name="포교사-1" sheetId="3" r:id="rId4"/>
    <sheet name="법은회" sheetId="4" r:id="rId5"/>
    <sheet name="경덕회" sheetId="5" r:id="rId6"/>
    <sheet name="기타" sheetId="6" r:id="rId7"/>
  </sheets>
  <definedNames>
    <definedName name="_xlnm._FilterDatabase" localSheetId="5" hidden="1">경덕회!$B$2:$I$5</definedName>
    <definedName name="_xlnm._FilterDatabase" localSheetId="6" hidden="1">기타!$B$2:$I$8</definedName>
    <definedName name="_xlnm._FilterDatabase" localSheetId="4" hidden="1">법은회!$B$2:$I$2</definedName>
    <definedName name="_xlnm._FilterDatabase" localSheetId="3" hidden="1">'포교사-1'!$B$2:$I$25</definedName>
    <definedName name="_xlnm.Print_Area" localSheetId="1">Sheet1!$A$1:$AE$56</definedName>
    <definedName name="_xlnm.Print_Area" localSheetId="2">'Sheet1 (2)'!$A$1:$G$164</definedName>
    <definedName name="_xlnm.Print_Area" localSheetId="5">경덕회!$B$1:$I$6</definedName>
    <definedName name="_xlnm.Print_Area" localSheetId="6">기타!$B$1:$I$8</definedName>
    <definedName name="_xlnm.Print_Area" localSheetId="4">법은회!$B$1:$I$18</definedName>
    <definedName name="_xlnm.Print_Area" localSheetId="3">'포교사-1'!$B$1:$I$28</definedName>
    <definedName name="_xlnm.Print_Titles" localSheetId="5">경덕회!$1:$2</definedName>
    <definedName name="_xlnm.Print_Titles" localSheetId="6">기타!$1:$2</definedName>
    <definedName name="_xlnm.Print_Titles" localSheetId="4">법은회!$1:$2</definedName>
    <definedName name="_xlnm.Print_Titles" localSheetId="3">'포교사-1'!$1:$2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7" i="3" l="1"/>
  <c r="B4" i="3"/>
  <c r="B5" i="3" s="1"/>
  <c r="B6" i="3" s="1"/>
  <c r="B7" i="3" s="1"/>
  <c r="B8" i="3" s="1"/>
  <c r="B9" i="3" s="1"/>
  <c r="B10" i="3" s="1"/>
  <c r="B11" i="3" s="1"/>
  <c r="G6" i="5"/>
  <c r="G17" i="4"/>
  <c r="G28" i="3"/>
  <c r="C2" i="7"/>
  <c r="B12" i="3" l="1"/>
  <c r="B13" i="3" s="1"/>
  <c r="B14" i="3" s="1"/>
  <c r="B15" i="3" s="1"/>
  <c r="B16" i="3" s="1"/>
  <c r="B18" i="3"/>
  <c r="B19" i="3" s="1"/>
  <c r="B4" i="6"/>
  <c r="B5" i="6" s="1"/>
  <c r="B6" i="6" s="1"/>
  <c r="B7" i="6" s="1"/>
  <c r="B8" i="6" s="1"/>
  <c r="B4" i="5"/>
  <c r="B5" i="5" s="1"/>
  <c r="B20" i="3" l="1"/>
  <c r="B21" i="3" s="1"/>
  <c r="B22" i="3" s="1"/>
  <c r="B23" i="3" s="1"/>
  <c r="B24" i="3" s="1"/>
  <c r="B25" i="3" s="1"/>
  <c r="B4" i="4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26" i="3" l="1"/>
  <c r="B27" i="3" s="1"/>
</calcChain>
</file>

<file path=xl/sharedStrings.xml><?xml version="1.0" encoding="utf-8"?>
<sst xmlns="http://schemas.openxmlformats.org/spreadsheetml/2006/main" count="397" uniqueCount="241">
  <si>
    <t>보운</t>
    <phoneticPr fontId="1" type="noConversion"/>
  </si>
  <si>
    <t>천유실</t>
    <phoneticPr fontId="1" type="noConversion"/>
  </si>
  <si>
    <t>여은심</t>
    <phoneticPr fontId="1" type="noConversion"/>
  </si>
  <si>
    <t>윤점분</t>
    <phoneticPr fontId="1" type="noConversion"/>
  </si>
  <si>
    <t>범운화</t>
    <phoneticPr fontId="1" type="noConversion"/>
  </si>
  <si>
    <t>윤경숙</t>
    <phoneticPr fontId="1" type="noConversion"/>
  </si>
  <si>
    <t>보광</t>
    <phoneticPr fontId="1" type="noConversion"/>
  </si>
  <si>
    <t>이 희규</t>
    <phoneticPr fontId="1" type="noConversion"/>
  </si>
  <si>
    <t>보월</t>
    <phoneticPr fontId="1" type="noConversion"/>
  </si>
  <si>
    <t>김형덕</t>
    <phoneticPr fontId="1" type="noConversion"/>
  </si>
  <si>
    <t>고불행</t>
    <phoneticPr fontId="1" type="noConversion"/>
  </si>
  <si>
    <t>박영애</t>
    <phoneticPr fontId="1" type="noConversion"/>
  </si>
  <si>
    <t>편집부</t>
    <phoneticPr fontId="1" type="noConversion"/>
  </si>
  <si>
    <t>월인</t>
    <phoneticPr fontId="1" type="noConversion"/>
  </si>
  <si>
    <t>김필근</t>
    <phoneticPr fontId="1" type="noConversion"/>
  </si>
  <si>
    <t>수성행</t>
    <phoneticPr fontId="1" type="noConversion"/>
  </si>
  <si>
    <t>황남숙</t>
    <phoneticPr fontId="1" type="noConversion"/>
  </si>
  <si>
    <t>향청</t>
    <phoneticPr fontId="1" type="noConversion"/>
  </si>
  <si>
    <t>권미애</t>
    <phoneticPr fontId="1" type="noConversion"/>
  </si>
  <si>
    <t>봉사부</t>
    <phoneticPr fontId="1" type="noConversion"/>
  </si>
  <si>
    <t>고덕</t>
    <phoneticPr fontId="1" type="noConversion"/>
  </si>
  <si>
    <t>김동영</t>
    <phoneticPr fontId="1" type="noConversion"/>
  </si>
  <si>
    <t>공성</t>
    <phoneticPr fontId="1" type="noConversion"/>
  </si>
  <si>
    <t>박영창</t>
    <phoneticPr fontId="1" type="noConversion"/>
  </si>
  <si>
    <t>보조</t>
    <phoneticPr fontId="1" type="noConversion"/>
  </si>
  <si>
    <t>김대희</t>
    <phoneticPr fontId="1" type="noConversion"/>
  </si>
  <si>
    <t>대외협력</t>
    <phoneticPr fontId="1" type="noConversion"/>
  </si>
  <si>
    <t>도선</t>
    <phoneticPr fontId="1" type="noConversion"/>
  </si>
  <si>
    <t>고영옥</t>
    <phoneticPr fontId="1" type="noConversion"/>
  </si>
  <si>
    <t>환희행</t>
    <phoneticPr fontId="1" type="noConversion"/>
  </si>
  <si>
    <t>김은희</t>
    <phoneticPr fontId="1" type="noConversion"/>
  </si>
  <si>
    <t>자문위원</t>
    <phoneticPr fontId="1" type="noConversion"/>
  </si>
  <si>
    <t>행원</t>
    <phoneticPr fontId="1" type="noConversion"/>
  </si>
  <si>
    <t>이종찬</t>
    <phoneticPr fontId="1" type="noConversion"/>
  </si>
  <si>
    <t>본각</t>
    <phoneticPr fontId="1" type="noConversion"/>
  </si>
  <si>
    <t>김영신</t>
    <phoneticPr fontId="1" type="noConversion"/>
  </si>
  <si>
    <t>불심</t>
    <phoneticPr fontId="1" type="noConversion"/>
  </si>
  <si>
    <t>강만석</t>
    <phoneticPr fontId="1" type="noConversion"/>
  </si>
  <si>
    <t>수경도</t>
    <phoneticPr fontId="1" type="noConversion"/>
  </si>
  <si>
    <t>정미숙</t>
    <phoneticPr fontId="1" type="noConversion"/>
  </si>
  <si>
    <t>2020.12.09수 첫작업</t>
    <phoneticPr fontId="1" type="noConversion"/>
  </si>
  <si>
    <t>글자체 HY견고딕</t>
    <phoneticPr fontId="1" type="noConversion"/>
  </si>
  <si>
    <t>재    무</t>
    <phoneticPr fontId="1" type="noConversion"/>
  </si>
  <si>
    <t>총    무</t>
    <phoneticPr fontId="1" type="noConversion"/>
  </si>
  <si>
    <t>팀    장</t>
    <phoneticPr fontId="1" type="noConversion"/>
  </si>
  <si>
    <t>감    사</t>
    <phoneticPr fontId="1" type="noConversion"/>
  </si>
  <si>
    <t>고    문</t>
    <phoneticPr fontId="1" type="noConversion"/>
  </si>
  <si>
    <t>연담</t>
    <phoneticPr fontId="1" type="noConversion"/>
  </si>
  <si>
    <t>강동섭</t>
    <phoneticPr fontId="1" type="noConversion"/>
  </si>
  <si>
    <t>2020.12.17</t>
    <phoneticPr fontId="1" type="noConversion"/>
  </si>
  <si>
    <t>No.</t>
    <phoneticPr fontId="1" type="noConversion"/>
  </si>
  <si>
    <t>포교사</t>
    <phoneticPr fontId="1" type="noConversion"/>
  </si>
  <si>
    <t>성명</t>
    <phoneticPr fontId="1" type="noConversion"/>
  </si>
  <si>
    <t>주민No.</t>
    <phoneticPr fontId="1" type="noConversion"/>
  </si>
  <si>
    <t>TEL
(010)</t>
    <phoneticPr fontId="1" type="noConversion"/>
  </si>
  <si>
    <t>금액</t>
    <phoneticPr fontId="1" type="noConversion"/>
  </si>
  <si>
    <t>주소</t>
    <phoneticPr fontId="1" type="noConversion"/>
  </si>
  <si>
    <t>우편No.</t>
    <phoneticPr fontId="1" type="noConversion"/>
  </si>
  <si>
    <t>551103-
1690835</t>
    <phoneticPr fontId="1" type="noConversion"/>
  </si>
  <si>
    <t>9483-3486</t>
    <phoneticPr fontId="1" type="noConversion"/>
  </si>
  <si>
    <t>부산 남구 진남로 210번길
일산주택3층</t>
    <phoneticPr fontId="1" type="noConversion"/>
  </si>
  <si>
    <t>강진석</t>
    <phoneticPr fontId="1" type="noConversion"/>
  </si>
  <si>
    <t>821018-
1117618</t>
    <phoneticPr fontId="1" type="noConversion"/>
  </si>
  <si>
    <t>7165-6222</t>
    <phoneticPr fontId="1" type="noConversion"/>
  </si>
  <si>
    <t>경기도 성남시 분당구 수내동
로얄팰리스하우스 A-1910</t>
    <phoneticPr fontId="1" type="noConversion"/>
  </si>
  <si>
    <t>681226-
2357313</t>
    <phoneticPr fontId="1" type="noConversion"/>
  </si>
  <si>
    <t>2618-0839</t>
    <phoneticPr fontId="1" type="noConversion"/>
  </si>
  <si>
    <t>부산 동래구 석사북로 95번길31
A동 202호</t>
    <phoneticPr fontId="1" type="noConversion"/>
  </si>
  <si>
    <t>570102-
1889414</t>
    <phoneticPr fontId="1" type="noConversion"/>
  </si>
  <si>
    <t>5311-7744</t>
    <phoneticPr fontId="1" type="noConversion"/>
  </si>
  <si>
    <t>부산 사상구 백양대로 906
우성@6-1506</t>
    <phoneticPr fontId="1" type="noConversion"/>
  </si>
  <si>
    <t>571001-
2105326</t>
    <phoneticPr fontId="1" type="noConversion"/>
  </si>
  <si>
    <t>3565-5711</t>
    <phoneticPr fontId="1" type="noConversion"/>
  </si>
  <si>
    <t>부산 영도구 연선4가
대원@4-405</t>
    <phoneticPr fontId="1" type="noConversion"/>
  </si>
  <si>
    <t>630317-
1105521</t>
    <phoneticPr fontId="1" type="noConversion"/>
  </si>
  <si>
    <t>4065-2976</t>
    <phoneticPr fontId="1" type="noConversion"/>
  </si>
  <si>
    <t>부산 부산진구 동평로352
현대@109-2101</t>
    <phoneticPr fontId="1" type="noConversion"/>
  </si>
  <si>
    <t>안해영</t>
    <phoneticPr fontId="1" type="noConversion"/>
  </si>
  <si>
    <t>이재영</t>
    <phoneticPr fontId="1" type="noConversion"/>
  </si>
  <si>
    <t>850211-
1106314</t>
    <phoneticPr fontId="1" type="noConversion"/>
  </si>
  <si>
    <t>2858-0062</t>
    <phoneticPr fontId="1" type="noConversion"/>
  </si>
  <si>
    <t>경기 용인시 수지구 포은대로 313번길 7-10
이편한세상 101-202</t>
    <phoneticPr fontId="1" type="noConversion"/>
  </si>
  <si>
    <t>김상범</t>
    <phoneticPr fontId="1" type="noConversion"/>
  </si>
  <si>
    <t>601106-
1913114</t>
    <phoneticPr fontId="1" type="noConversion"/>
  </si>
  <si>
    <t>2066-4176</t>
    <phoneticPr fontId="1" type="noConversion"/>
  </si>
  <si>
    <t>부산 사하구 하신번영로 400
SK@ 114-902</t>
    <phoneticPr fontId="1" type="noConversion"/>
  </si>
  <si>
    <t>801213-
2101414</t>
    <phoneticPr fontId="1" type="noConversion"/>
  </si>
  <si>
    <t>7223-3858</t>
    <phoneticPr fontId="1" type="noConversion"/>
  </si>
  <si>
    <t>최미경</t>
    <phoneticPr fontId="1" type="noConversion"/>
  </si>
  <si>
    <t>이영훈</t>
    <phoneticPr fontId="1" type="noConversion"/>
  </si>
  <si>
    <t>900206-
1122413</t>
    <phoneticPr fontId="1" type="noConversion"/>
  </si>
  <si>
    <t>7430-1541</t>
    <phoneticPr fontId="1" type="noConversion"/>
  </si>
  <si>
    <t>사하구 장림동 다대로277번길 124
경동메르빌2동406호</t>
    <phoneticPr fontId="1" type="noConversion"/>
  </si>
  <si>
    <t>박진석</t>
    <phoneticPr fontId="1" type="noConversion"/>
  </si>
  <si>
    <t>731212-
1117322</t>
    <phoneticPr fontId="1" type="noConversion"/>
  </si>
  <si>
    <t>8957-1755</t>
    <phoneticPr fontId="1" type="noConversion"/>
  </si>
  <si>
    <t>서울 광진구 광장동484
현대@309동704</t>
    <phoneticPr fontId="1" type="noConversion"/>
  </si>
  <si>
    <t>천성호</t>
    <phoneticPr fontId="1" type="noConversion"/>
  </si>
  <si>
    <t>900929-
1114439</t>
    <phoneticPr fontId="1" type="noConversion"/>
  </si>
  <si>
    <t>2480-9470</t>
    <phoneticPr fontId="1" type="noConversion"/>
  </si>
  <si>
    <t>경남 김해시 분성로14
일동한신아파트 124동602호</t>
    <phoneticPr fontId="1" type="noConversion"/>
  </si>
  <si>
    <t>박현진</t>
    <phoneticPr fontId="1" type="noConversion"/>
  </si>
  <si>
    <t>890806-
1095314</t>
    <phoneticPr fontId="1" type="noConversion"/>
  </si>
  <si>
    <t>3526-6952</t>
    <phoneticPr fontId="1" type="noConversion"/>
  </si>
  <si>
    <t>부산 강서구 명지국제5로 136번길 27
City park 301호</t>
    <phoneticPr fontId="1" type="noConversion"/>
  </si>
  <si>
    <t>김민규</t>
    <phoneticPr fontId="1" type="noConversion"/>
  </si>
  <si>
    <t>860624-
1117127</t>
    <phoneticPr fontId="1" type="noConversion"/>
  </si>
  <si>
    <t>4182-3811</t>
    <phoneticPr fontId="1" type="noConversion"/>
  </si>
  <si>
    <t>경기도 군포시 용호1로 46번길11
당동동도 센트리움101동1402</t>
    <phoneticPr fontId="1" type="noConversion"/>
  </si>
  <si>
    <t>이희규</t>
    <phoneticPr fontId="1" type="noConversion"/>
  </si>
  <si>
    <t>670310-
1102112</t>
    <phoneticPr fontId="1" type="noConversion"/>
  </si>
  <si>
    <t>7501-0505</t>
    <phoneticPr fontId="1" type="noConversion"/>
  </si>
  <si>
    <t>부산 금정구 식물원로64
금정산SK뷰 111동1402</t>
    <phoneticPr fontId="1" type="noConversion"/>
  </si>
  <si>
    <t>640208-
2094119</t>
    <phoneticPr fontId="1" type="noConversion"/>
  </si>
  <si>
    <t>2565-6963</t>
    <phoneticPr fontId="1" type="noConversion"/>
  </si>
  <si>
    <t>440102-
2105416</t>
    <phoneticPr fontId="1" type="noConversion"/>
  </si>
  <si>
    <t>9425-8116</t>
    <phoneticPr fontId="1" type="noConversion"/>
  </si>
  <si>
    <t xml:space="preserve">영도구 절영로101번길42
</t>
    <phoneticPr fontId="1" type="noConversion"/>
  </si>
  <si>
    <t>김명옥</t>
    <phoneticPr fontId="1" type="noConversion"/>
  </si>
  <si>
    <t>장은영</t>
    <phoneticPr fontId="1" type="noConversion"/>
  </si>
  <si>
    <t>경기도 안양시 안양천사로177
래미안메가트리아 116-2404</t>
    <phoneticPr fontId="1" type="noConversion"/>
  </si>
  <si>
    <t>김창영</t>
    <phoneticPr fontId="1" type="noConversion"/>
  </si>
  <si>
    <t>620319-
1804714</t>
    <phoneticPr fontId="1" type="noConversion"/>
  </si>
  <si>
    <t>부산진구 마철로98
벽산블루밍101-2802</t>
    <phoneticPr fontId="1" type="noConversion"/>
  </si>
  <si>
    <t>김준수</t>
    <phoneticPr fontId="1" type="noConversion"/>
  </si>
  <si>
    <t>870303-
1126815</t>
    <phoneticPr fontId="1" type="noConversion"/>
  </si>
  <si>
    <t>해운대구 마린시티2로33
103-1901호</t>
    <phoneticPr fontId="1" type="noConversion"/>
  </si>
  <si>
    <t>671216-
1930312</t>
    <phoneticPr fontId="1" type="noConversion"/>
  </si>
  <si>
    <t>2003-7989</t>
    <phoneticPr fontId="1" type="noConversion"/>
  </si>
  <si>
    <t>북구 백양대로1016번길10
삼정그린코아@102-2004</t>
    <phoneticPr fontId="1" type="noConversion"/>
  </si>
  <si>
    <t>기부자</t>
    <phoneticPr fontId="1" type="noConversion"/>
  </si>
  <si>
    <t>변창민</t>
    <phoneticPr fontId="1" type="noConversion"/>
  </si>
  <si>
    <t>부산 동구 중앙대로251길28
3층</t>
    <phoneticPr fontId="1" type="noConversion"/>
  </si>
  <si>
    <t>630509-
2916715</t>
    <phoneticPr fontId="1" type="noConversion"/>
  </si>
  <si>
    <t>4966-5978</t>
    <phoneticPr fontId="1" type="noConversion"/>
  </si>
  <si>
    <t>경남 양산시 양주로 114
현대@107-1501</t>
    <phoneticPr fontId="1" type="noConversion"/>
  </si>
  <si>
    <t>박서연</t>
    <phoneticPr fontId="1" type="noConversion"/>
  </si>
  <si>
    <t>690218-
2102017</t>
    <phoneticPr fontId="1" type="noConversion"/>
  </si>
  <si>
    <t>2220-1698</t>
    <phoneticPr fontId="1" type="noConversion"/>
  </si>
  <si>
    <t>제주특별자치도 제주시 천수로92
신천지2차@202-501호</t>
    <phoneticPr fontId="1" type="noConversion"/>
  </si>
  <si>
    <t>김길희</t>
    <phoneticPr fontId="1" type="noConversion"/>
  </si>
  <si>
    <t>690414-
2122813</t>
    <phoneticPr fontId="1" type="noConversion"/>
  </si>
  <si>
    <t>9931-4582</t>
    <phoneticPr fontId="1" type="noConversion"/>
  </si>
  <si>
    <t xml:space="preserve">부산 동구 성북로3-2
</t>
    <phoneticPr fontId="1" type="noConversion"/>
  </si>
  <si>
    <t>김명애</t>
    <phoneticPr fontId="1" type="noConversion"/>
  </si>
  <si>
    <t>김미리</t>
    <phoneticPr fontId="1" type="noConversion"/>
  </si>
  <si>
    <t>김선영</t>
    <phoneticPr fontId="1" type="noConversion"/>
  </si>
  <si>
    <t>김선희</t>
    <phoneticPr fontId="1" type="noConversion"/>
  </si>
  <si>
    <t>김현정</t>
    <phoneticPr fontId="1" type="noConversion"/>
  </si>
  <si>
    <t>김효정</t>
    <phoneticPr fontId="1" type="noConversion"/>
  </si>
  <si>
    <t>송현옥</t>
    <phoneticPr fontId="1" type="noConversion"/>
  </si>
  <si>
    <t>여시내</t>
    <phoneticPr fontId="1" type="noConversion"/>
  </si>
  <si>
    <t>이진경</t>
    <phoneticPr fontId="1" type="noConversion"/>
  </si>
  <si>
    <t>정수동</t>
    <phoneticPr fontId="1" type="noConversion"/>
  </si>
  <si>
    <t>정혜진</t>
    <phoneticPr fontId="1" type="noConversion"/>
  </si>
  <si>
    <t>조현용</t>
    <phoneticPr fontId="1" type="noConversion"/>
  </si>
  <si>
    <t>김낙현</t>
    <phoneticPr fontId="1" type="noConversion"/>
  </si>
  <si>
    <t>장하늘</t>
    <phoneticPr fontId="1" type="noConversion"/>
  </si>
  <si>
    <t>박준석</t>
    <phoneticPr fontId="1" type="noConversion"/>
  </si>
  <si>
    <t>하경화</t>
    <phoneticPr fontId="1" type="noConversion"/>
  </si>
  <si>
    <t>송현욱</t>
    <phoneticPr fontId="1" type="noConversion"/>
  </si>
  <si>
    <t>배성현</t>
    <phoneticPr fontId="1" type="noConversion"/>
  </si>
  <si>
    <t>박경태</t>
    <phoneticPr fontId="1" type="noConversion"/>
  </si>
  <si>
    <t>880622-
1100814</t>
    <phoneticPr fontId="1" type="noConversion"/>
  </si>
  <si>
    <t>851028-
1124327</t>
    <phoneticPr fontId="1" type="noConversion"/>
  </si>
  <si>
    <t>761118-
2110510</t>
    <phoneticPr fontId="1" type="noConversion"/>
  </si>
  <si>
    <t>771114-
1790313</t>
    <phoneticPr fontId="1" type="noConversion"/>
  </si>
  <si>
    <t>790722-
2110511</t>
    <phoneticPr fontId="1" type="noConversion"/>
  </si>
  <si>
    <t>800913-
1110339</t>
    <phoneticPr fontId="1" type="noConversion"/>
  </si>
  <si>
    <t>670416-
2101617</t>
    <phoneticPr fontId="1" type="noConversion"/>
  </si>
  <si>
    <t>800229-
1100810</t>
    <phoneticPr fontId="1" type="noConversion"/>
  </si>
  <si>
    <t>911109-
1125511</t>
    <phoneticPr fontId="1" type="noConversion"/>
  </si>
  <si>
    <t>6301022-
2109124</t>
    <phoneticPr fontId="1" type="noConversion"/>
  </si>
  <si>
    <t>680611-
2120819</t>
    <phoneticPr fontId="1" type="noConversion"/>
  </si>
  <si>
    <t>660115-
1094311</t>
    <phoneticPr fontId="1" type="noConversion"/>
  </si>
  <si>
    <t>8952-8659</t>
    <phoneticPr fontId="1" type="noConversion"/>
  </si>
  <si>
    <t>6474-6242</t>
    <phoneticPr fontId="1" type="noConversion"/>
  </si>
  <si>
    <t>3876-9893</t>
    <phoneticPr fontId="1" type="noConversion"/>
  </si>
  <si>
    <t>2582-1065</t>
    <phoneticPr fontId="1" type="noConversion"/>
  </si>
  <si>
    <t>2318-5907</t>
    <phoneticPr fontId="1" type="noConversion"/>
  </si>
  <si>
    <t>4049-4131</t>
    <phoneticPr fontId="1" type="noConversion"/>
  </si>
  <si>
    <t>4549-0580</t>
    <phoneticPr fontId="1" type="noConversion"/>
  </si>
  <si>
    <t>9737-5352</t>
    <phoneticPr fontId="1" type="noConversion"/>
  </si>
  <si>
    <t>4512-8918</t>
    <phoneticPr fontId="1" type="noConversion"/>
  </si>
  <si>
    <t>8632-9169</t>
    <phoneticPr fontId="1" type="noConversion"/>
  </si>
  <si>
    <t>9324-3471</t>
    <phoneticPr fontId="1" type="noConversion"/>
  </si>
  <si>
    <t>3887-9930</t>
    <phoneticPr fontId="1" type="noConversion"/>
  </si>
  <si>
    <t>율산 동구 화정동 155-2
이스트빌 301</t>
    <phoneticPr fontId="1" type="noConversion"/>
  </si>
  <si>
    <t>부산 연제구 연제로8번길 30
브라운스톤 203-704</t>
    <phoneticPr fontId="1" type="noConversion"/>
  </si>
  <si>
    <t>부산 금정구 수림로72번길21
금정산쌍용예가202-1602</t>
    <phoneticPr fontId="1" type="noConversion"/>
  </si>
  <si>
    <t>부산 연제구 거제동 
거제홈타운@107-201</t>
    <phoneticPr fontId="1" type="noConversion"/>
  </si>
  <si>
    <t>부산 남구 고공골로97번길39-12
문현현대@202-1101</t>
    <phoneticPr fontId="1" type="noConversion"/>
  </si>
  <si>
    <t>경남 함안군 가야읍 가야로155번길
대경파미르 101-606</t>
    <phoneticPr fontId="1" type="noConversion"/>
  </si>
  <si>
    <t xml:space="preserve">부산 동구 좌천동 정공단로 39번길16
</t>
    <phoneticPr fontId="1" type="noConversion"/>
  </si>
  <si>
    <t>경기 이천시 부발읍 아미리 
현대성우@ 203-1703</t>
    <phoneticPr fontId="1" type="noConversion"/>
  </si>
  <si>
    <t>부산 부산진구 백양대로 208번길88
개금한진@102-305</t>
    <phoneticPr fontId="1" type="noConversion"/>
  </si>
  <si>
    <t>부산 동래구 충렬대로 202번길77
제일장미 D-101</t>
    <phoneticPr fontId="1" type="noConversion"/>
  </si>
  <si>
    <t>부산 연제구 거제동 
유림아시아드타워 202-2404</t>
    <phoneticPr fontId="1" type="noConversion"/>
  </si>
  <si>
    <t>경남 양산시 평산동 51-1
새진흥7차@ 202-1006</t>
    <phoneticPr fontId="1" type="noConversion"/>
  </si>
  <si>
    <t>법은회</t>
    <phoneticPr fontId="1" type="noConversion"/>
  </si>
  <si>
    <t>모임명</t>
    <phoneticPr fontId="1" type="noConversion"/>
  </si>
  <si>
    <t>서말례</t>
    <phoneticPr fontId="1" type="noConversion"/>
  </si>
  <si>
    <t>봉사자</t>
    <phoneticPr fontId="1" type="noConversion"/>
  </si>
  <si>
    <t>8363-5659</t>
    <phoneticPr fontId="1" type="noConversion"/>
  </si>
  <si>
    <t>5895-9415</t>
    <phoneticPr fontId="1" type="noConversion"/>
  </si>
  <si>
    <t>구경옥</t>
    <phoneticPr fontId="1" type="noConversion"/>
  </si>
  <si>
    <t>김혜영</t>
    <phoneticPr fontId="1" type="noConversion"/>
  </si>
  <si>
    <t>이연교</t>
    <phoneticPr fontId="1" type="noConversion"/>
  </si>
  <si>
    <t>송은숙</t>
    <phoneticPr fontId="1" type="noConversion"/>
  </si>
  <si>
    <t>이수진</t>
    <phoneticPr fontId="1" type="noConversion"/>
  </si>
  <si>
    <t>유영진</t>
    <phoneticPr fontId="1" type="noConversion"/>
  </si>
  <si>
    <t>831010-
2894316</t>
    <phoneticPr fontId="1" type="noConversion"/>
  </si>
  <si>
    <t>890416-
2117919</t>
    <phoneticPr fontId="1" type="noConversion"/>
  </si>
  <si>
    <t>890909-
1117611</t>
    <phoneticPr fontId="1" type="noConversion"/>
  </si>
  <si>
    <t>2576-9497</t>
    <phoneticPr fontId="1" type="noConversion"/>
  </si>
  <si>
    <t>5560-5063</t>
    <phoneticPr fontId="1" type="noConversion"/>
  </si>
  <si>
    <t>6611-0810</t>
    <phoneticPr fontId="1" type="noConversion"/>
  </si>
  <si>
    <t xml:space="preserve">부산 동래구 온천3동 미남로116번길 31
</t>
    <phoneticPr fontId="1" type="noConversion"/>
  </si>
  <si>
    <t>부산 남구 용호로380-17
일신@206-1403</t>
    <phoneticPr fontId="1" type="noConversion"/>
  </si>
  <si>
    <t>울산 남구 야음동
대현더샾@201-701</t>
    <phoneticPr fontId="1" type="noConversion"/>
  </si>
  <si>
    <t>안신영</t>
    <phoneticPr fontId="1" type="noConversion"/>
  </si>
  <si>
    <t>690816-
2100317</t>
    <phoneticPr fontId="1" type="noConversion"/>
  </si>
  <si>
    <t>9919-5609</t>
    <phoneticPr fontId="1" type="noConversion"/>
  </si>
  <si>
    <t>김영옥</t>
    <phoneticPr fontId="1" type="noConversion"/>
  </si>
  <si>
    <t>변창일</t>
    <phoneticPr fontId="1" type="noConversion"/>
  </si>
  <si>
    <t>440402-
2105416</t>
    <phoneticPr fontId="1" type="noConversion"/>
  </si>
  <si>
    <t xml:space="preserve">부산시 영도구 절영로 101번길42
</t>
    <phoneticPr fontId="1" type="noConversion"/>
  </si>
  <si>
    <t>부산시 부산진구 마철로98
벽산블루밍101-2802</t>
    <phoneticPr fontId="1" type="noConversion"/>
  </si>
  <si>
    <t>부산시 해운대구 마린시티2로33
103-1901호</t>
    <phoneticPr fontId="1" type="noConversion"/>
  </si>
  <si>
    <t>부산시 북구 백양대로1016번길10
삼정그린코아@102-2004</t>
    <phoneticPr fontId="1" type="noConversion"/>
  </si>
  <si>
    <t>구분</t>
    <phoneticPr fontId="1" type="noConversion"/>
  </si>
  <si>
    <t>일자</t>
    <phoneticPr fontId="1" type="noConversion"/>
  </si>
  <si>
    <t>내용</t>
    <phoneticPr fontId="1" type="noConversion"/>
  </si>
  <si>
    <t>비고</t>
    <phoneticPr fontId="1" type="noConversion"/>
  </si>
  <si>
    <t>연말 정산건 조정 카톡 내용 기준</t>
    <phoneticPr fontId="1" type="noConversion"/>
  </si>
  <si>
    <t>김형덕
박영애</t>
    <phoneticPr fontId="1" type="noConversion"/>
  </si>
  <si>
    <t>차홍선</t>
    <phoneticPr fontId="1" type="noConversion"/>
  </si>
  <si>
    <t>630508-
2113811</t>
    <phoneticPr fontId="1" type="noConversion"/>
  </si>
  <si>
    <t>9802-2906</t>
    <phoneticPr fontId="1" type="noConversion"/>
  </si>
  <si>
    <t>사상구 백양대로 906
우성@101동1401호</t>
    <phoneticPr fontId="1" type="noConversion"/>
  </si>
  <si>
    <t>강영옥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</si>
</sst>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000.0000"/>
    <numFmt numFmtId="177" formatCode="000000\-0000000"/>
    <numFmt numFmtId="178" formatCode="0000\-0000"/>
    <numFmt numFmtId="179" formatCode="00000"/>
    <numFmt numFmtId="180" formatCode="#,##0_ "/>
    <numFmt numFmtId="181" formatCode="aaa"/>
  </numFmts>
  <fonts count="10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Arial Narrow"/>
      <family val="2"/>
    </font>
    <font>
      <sz val="11"/>
      <color theme="1"/>
      <name val="Arial Black"/>
      <family val="2"/>
    </font>
    <font>
      <sz val="14"/>
      <color theme="1"/>
      <name val="HY견고딕"/>
      <family val="1"/>
      <charset val="129"/>
    </font>
    <font>
      <sz val="11"/>
      <color theme="1"/>
      <name val="석보체 보통(OTF)"/>
      <family val="1"/>
      <charset val="129"/>
    </font>
    <font>
      <sz val="12"/>
      <color theme="1"/>
      <name val="석보체 보통(OTF)"/>
      <family val="1"/>
      <charset val="129"/>
    </font>
    <font>
      <sz val="8"/>
      <color theme="1"/>
      <name val="Arial Narrow"/>
      <family val="2"/>
    </font>
    <font>
      <sz val="11"/>
      <name val="맑은 고딕"/>
      <family val="2"/>
      <scheme val="minor"/>
    </font>
    <font>
      <sz val="1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hair">
        <color auto="1"/>
      </bottom>
      <diagonal/>
    </border>
    <border>
      <left/>
      <right/>
      <top style="hair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3" borderId="3" xfId="0" applyFill="1" applyBorder="1"/>
    <xf numFmtId="0" fontId="0" fillId="3" borderId="5" xfId="0" applyFill="1" applyBorder="1"/>
    <xf numFmtId="0" fontId="0" fillId="3" borderId="8" xfId="0" applyFill="1" applyBorder="1"/>
    <xf numFmtId="0" fontId="0" fillId="3" borderId="6" xfId="0" applyFill="1" applyBorder="1"/>
    <xf numFmtId="0" fontId="0" fillId="3" borderId="7" xfId="0" applyFill="1" applyBorder="1"/>
    <xf numFmtId="0" fontId="6" fillId="4" borderId="9" xfId="0" applyFont="1" applyFill="1" applyBorder="1" applyAlignment="1">
      <alignment horizontal="distributed"/>
    </xf>
    <xf numFmtId="0" fontId="5" fillId="4" borderId="9" xfId="0" applyFont="1" applyFill="1" applyBorder="1" applyAlignment="1">
      <alignment horizontal="distributed"/>
    </xf>
    <xf numFmtId="0" fontId="3" fillId="4" borderId="9" xfId="0" applyFont="1" applyFill="1" applyBorder="1" applyAlignment="1">
      <alignment horizontal="center"/>
    </xf>
    <xf numFmtId="176" fontId="2" fillId="4" borderId="9" xfId="0" applyNumberFormat="1" applyFont="1" applyFill="1" applyBorder="1" applyAlignment="1">
      <alignment horizontal="center"/>
    </xf>
    <xf numFmtId="0" fontId="7" fillId="0" borderId="0" xfId="0" applyFont="1" applyAlignment="1">
      <alignment horizontal="right"/>
    </xf>
    <xf numFmtId="177" fontId="0" fillId="0" borderId="7" xfId="0" applyNumberFormat="1" applyBorder="1" applyAlignment="1">
      <alignment wrapText="1"/>
    </xf>
    <xf numFmtId="178" fontId="0" fillId="0" borderId="7" xfId="0" applyNumberFormat="1" applyBorder="1" applyAlignment="1">
      <alignment wrapText="1"/>
    </xf>
    <xf numFmtId="0" fontId="0" fillId="0" borderId="7" xfId="0" applyBorder="1" applyAlignment="1">
      <alignment wrapText="1"/>
    </xf>
    <xf numFmtId="0" fontId="0" fillId="0" borderId="10" xfId="0" applyBorder="1"/>
    <xf numFmtId="177" fontId="0" fillId="0" borderId="10" xfId="0" applyNumberFormat="1" applyBorder="1" applyAlignment="1">
      <alignment wrapText="1"/>
    </xf>
    <xf numFmtId="178" fontId="0" fillId="0" borderId="10" xfId="0" applyNumberFormat="1" applyBorder="1" applyAlignment="1">
      <alignment wrapText="1"/>
    </xf>
    <xf numFmtId="0" fontId="0" fillId="0" borderId="10" xfId="0" applyBorder="1" applyAlignment="1">
      <alignment wrapText="1"/>
    </xf>
    <xf numFmtId="179" fontId="0" fillId="0" borderId="10" xfId="0" applyNumberFormat="1" applyBorder="1"/>
    <xf numFmtId="0" fontId="0" fillId="0" borderId="11" xfId="0" applyBorder="1"/>
    <xf numFmtId="0" fontId="0" fillId="0" borderId="11" xfId="0" applyBorder="1" applyAlignment="1">
      <alignment horizontal="centerContinuous"/>
    </xf>
    <xf numFmtId="177" fontId="0" fillId="0" borderId="11" xfId="0" applyNumberFormat="1" applyBorder="1" applyAlignment="1">
      <alignment horizontal="centerContinuous" wrapText="1"/>
    </xf>
    <xf numFmtId="178" fontId="0" fillId="0" borderId="11" xfId="0" applyNumberFormat="1" applyBorder="1" applyAlignment="1">
      <alignment horizontal="centerContinuous" wrapText="1"/>
    </xf>
    <xf numFmtId="0" fontId="0" fillId="0" borderId="11" xfId="0" applyBorder="1" applyAlignment="1">
      <alignment horizontal="centerContinuous" wrapText="1"/>
    </xf>
    <xf numFmtId="0" fontId="0" fillId="0" borderId="12" xfId="0" applyBorder="1"/>
    <xf numFmtId="0" fontId="0" fillId="0" borderId="12" xfId="0" applyBorder="1" applyAlignment="1">
      <alignment wrapText="1"/>
    </xf>
    <xf numFmtId="180" fontId="2" fillId="0" borderId="10" xfId="0" applyNumberFormat="1" applyFont="1" applyBorder="1"/>
    <xf numFmtId="181" fontId="0" fillId="0" borderId="0" xfId="0" applyNumberFormat="1"/>
    <xf numFmtId="14" fontId="0" fillId="0" borderId="0" xfId="0" applyNumberFormat="1"/>
    <xf numFmtId="180" fontId="0" fillId="0" borderId="0" xfId="0" applyNumberFormat="1"/>
    <xf numFmtId="0" fontId="8" fillId="0" borderId="0" xfId="0" applyFont="1"/>
    <xf numFmtId="0" fontId="8" fillId="0" borderId="10" xfId="0" applyFont="1" applyBorder="1"/>
    <xf numFmtId="177" fontId="8" fillId="0" borderId="10" xfId="0" applyNumberFormat="1" applyFont="1" applyBorder="1" applyAlignment="1">
      <alignment wrapText="1"/>
    </xf>
    <xf numFmtId="178" fontId="8" fillId="0" borderId="10" xfId="0" applyNumberFormat="1" applyFont="1" applyBorder="1" applyAlignment="1">
      <alignment wrapText="1"/>
    </xf>
    <xf numFmtId="180" fontId="9" fillId="0" borderId="10" xfId="0" applyNumberFormat="1" applyFont="1" applyBorder="1"/>
    <xf numFmtId="0" fontId="8" fillId="0" borderId="10" xfId="0" applyFont="1" applyBorder="1" applyAlignment="1">
      <alignment wrapText="1"/>
    </xf>
    <xf numFmtId="0" fontId="4" fillId="2" borderId="0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</xdr:colOff>
      <xdr:row>0</xdr:row>
      <xdr:rowOff>57978</xdr:rowOff>
    </xdr:from>
    <xdr:to>
      <xdr:col>28</xdr:col>
      <xdr:colOff>0</xdr:colOff>
      <xdr:row>4</xdr:row>
      <xdr:rowOff>207064</xdr:rowOff>
    </xdr:to>
    <xdr:sp macro="" textlink="">
      <xdr:nvSpPr>
        <xdr:cNvPr id="21" name="리본: 위로 기울어짐 20">
          <a:extLst>
            <a:ext uri="{FF2B5EF4-FFF2-40B4-BE49-F238E27FC236}">
              <a16:creationId xmlns:a16="http://schemas.microsoft.com/office/drawing/2014/main" id="{A42E8E94-7534-4986-904F-2977FE75082F}"/>
            </a:ext>
          </a:extLst>
        </xdr:cNvPr>
        <xdr:cNvSpPr/>
      </xdr:nvSpPr>
      <xdr:spPr>
        <a:xfrm>
          <a:off x="861392" y="57978"/>
          <a:ext cx="6907695" cy="977347"/>
        </a:xfrm>
        <a:prstGeom prst="ribbon2">
          <a:avLst>
            <a:gd name="adj1" fmla="val 16667"/>
            <a:gd name="adj2" fmla="val 69185"/>
          </a:avLst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0</xdr:colOff>
      <xdr:row>17</xdr:row>
      <xdr:rowOff>0</xdr:rowOff>
    </xdr:from>
    <xdr:to>
      <xdr:col>16</xdr:col>
      <xdr:colOff>0</xdr:colOff>
      <xdr:row>27</xdr:row>
      <xdr:rowOff>0</xdr:rowOff>
    </xdr:to>
    <xdr:cxnSp macro="">
      <xdr:nvCxnSpPr>
        <xdr:cNvPr id="3" name="직선 연결선 2">
          <a:extLst>
            <a:ext uri="{FF2B5EF4-FFF2-40B4-BE49-F238E27FC236}">
              <a16:creationId xmlns:a16="http://schemas.microsoft.com/office/drawing/2014/main" id="{760FA9BA-1472-44E0-8BF1-6B3B1ED2437C}"/>
            </a:ext>
          </a:extLst>
        </xdr:cNvPr>
        <xdr:cNvCxnSpPr/>
      </xdr:nvCxnSpPr>
      <xdr:spPr>
        <a:xfrm>
          <a:off x="4290391" y="2584174"/>
          <a:ext cx="0" cy="1275522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25</xdr:row>
      <xdr:rowOff>0</xdr:rowOff>
    </xdr:from>
    <xdr:to>
      <xdr:col>28</xdr:col>
      <xdr:colOff>0</xdr:colOff>
      <xdr:row>25</xdr:row>
      <xdr:rowOff>0</xdr:rowOff>
    </xdr:to>
    <xdr:cxnSp macro="">
      <xdr:nvCxnSpPr>
        <xdr:cNvPr id="7" name="직선 연결선 6">
          <a:extLst>
            <a:ext uri="{FF2B5EF4-FFF2-40B4-BE49-F238E27FC236}">
              <a16:creationId xmlns:a16="http://schemas.microsoft.com/office/drawing/2014/main" id="{323CE4B9-0D92-404D-AB35-6D41DCEC276A}"/>
            </a:ext>
          </a:extLst>
        </xdr:cNvPr>
        <xdr:cNvCxnSpPr/>
      </xdr:nvCxnSpPr>
      <xdr:spPr>
        <a:xfrm flipH="1">
          <a:off x="911087" y="2857500"/>
          <a:ext cx="685800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25</xdr:row>
      <xdr:rowOff>0</xdr:rowOff>
    </xdr:from>
    <xdr:to>
      <xdr:col>4</xdr:col>
      <xdr:colOff>0</xdr:colOff>
      <xdr:row>27</xdr:row>
      <xdr:rowOff>0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058F73A7-1FA0-4D4D-8965-B2553DB292A9}"/>
            </a:ext>
          </a:extLst>
        </xdr:cNvPr>
        <xdr:cNvCxnSpPr/>
      </xdr:nvCxnSpPr>
      <xdr:spPr>
        <a:xfrm>
          <a:off x="911087" y="2857500"/>
          <a:ext cx="0" cy="298174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25</xdr:row>
      <xdr:rowOff>0</xdr:rowOff>
    </xdr:from>
    <xdr:to>
      <xdr:col>10</xdr:col>
      <xdr:colOff>0</xdr:colOff>
      <xdr:row>27</xdr:row>
      <xdr:rowOff>0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E08AC138-610F-4896-97F6-13F6288B4AFC}"/>
            </a:ext>
          </a:extLst>
        </xdr:cNvPr>
        <xdr:cNvCxnSpPr/>
      </xdr:nvCxnSpPr>
      <xdr:spPr>
        <a:xfrm>
          <a:off x="2625587" y="2857500"/>
          <a:ext cx="0" cy="298174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25</xdr:row>
      <xdr:rowOff>0</xdr:rowOff>
    </xdr:from>
    <xdr:to>
      <xdr:col>22</xdr:col>
      <xdr:colOff>0</xdr:colOff>
      <xdr:row>27</xdr:row>
      <xdr:rowOff>0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085825A2-C2BA-4E39-81A0-14FF50721421}"/>
            </a:ext>
          </a:extLst>
        </xdr:cNvPr>
        <xdr:cNvCxnSpPr/>
      </xdr:nvCxnSpPr>
      <xdr:spPr>
        <a:xfrm>
          <a:off x="6054587" y="2857500"/>
          <a:ext cx="0" cy="298174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25</xdr:row>
      <xdr:rowOff>0</xdr:rowOff>
    </xdr:from>
    <xdr:to>
      <xdr:col>28</xdr:col>
      <xdr:colOff>0</xdr:colOff>
      <xdr:row>27</xdr:row>
      <xdr:rowOff>0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39B64953-B091-4B58-A764-F21E83BBA44F}"/>
            </a:ext>
          </a:extLst>
        </xdr:cNvPr>
        <xdr:cNvCxnSpPr/>
      </xdr:nvCxnSpPr>
      <xdr:spPr>
        <a:xfrm>
          <a:off x="7769087" y="2857500"/>
          <a:ext cx="0" cy="298174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9</xdr:row>
      <xdr:rowOff>0</xdr:rowOff>
    </xdr:from>
    <xdr:to>
      <xdr:col>13</xdr:col>
      <xdr:colOff>0</xdr:colOff>
      <xdr:row>9</xdr:row>
      <xdr:rowOff>0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C0C8C5F4-F66C-427D-8306-279DBC8ADFB4}"/>
            </a:ext>
          </a:extLst>
        </xdr:cNvPr>
        <xdr:cNvCxnSpPr/>
      </xdr:nvCxnSpPr>
      <xdr:spPr>
        <a:xfrm flipH="1">
          <a:off x="1714500" y="927652"/>
          <a:ext cx="1838739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9</xdr:row>
      <xdr:rowOff>0</xdr:rowOff>
    </xdr:from>
    <xdr:to>
      <xdr:col>25</xdr:col>
      <xdr:colOff>0</xdr:colOff>
      <xdr:row>9</xdr:row>
      <xdr:rowOff>0</xdr:rowOff>
    </xdr:to>
    <xdr:cxnSp macro="">
      <xdr:nvCxnSpPr>
        <xdr:cNvPr id="19" name="직선 연결선 18">
          <a:extLst>
            <a:ext uri="{FF2B5EF4-FFF2-40B4-BE49-F238E27FC236}">
              <a16:creationId xmlns:a16="http://schemas.microsoft.com/office/drawing/2014/main" id="{474CE45C-3534-4AC7-9A4F-86515CC3725D}"/>
            </a:ext>
          </a:extLst>
        </xdr:cNvPr>
        <xdr:cNvCxnSpPr/>
      </xdr:nvCxnSpPr>
      <xdr:spPr>
        <a:xfrm flipH="1">
          <a:off x="5143500" y="927652"/>
          <a:ext cx="1838739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0</xdr:colOff>
      <xdr:row>0</xdr:row>
      <xdr:rowOff>0</xdr:rowOff>
    </xdr:from>
    <xdr:ext cx="6858000" cy="852541"/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1ACA56A3-0303-46CE-9319-D58EECEC0100}"/>
            </a:ext>
          </a:extLst>
        </xdr:cNvPr>
        <xdr:cNvSpPr/>
      </xdr:nvSpPr>
      <xdr:spPr>
        <a:xfrm>
          <a:off x="911087" y="0"/>
          <a:ext cx="6858000" cy="85254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altLang="ko-KR" sz="30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ea typeface="석보체 보통(OTF)" panose="02020603020101020101" pitchFamily="18" charset="-127"/>
            </a:rPr>
            <a:t>2021</a:t>
          </a:r>
          <a:r>
            <a:rPr lang="ko-KR" altLang="en-US" sz="30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ea typeface="석보체 보통(OTF)" panose="02020603020101020101" pitchFamily="18" charset="-127"/>
            </a:rPr>
            <a:t>년 청파팀 운영위원</a:t>
          </a:r>
          <a:endParaRPr lang="en-US" altLang="ko-KR" sz="3000" b="0" cap="none" spc="0" baseline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ea typeface="석보체 보통(OTF)" panose="02020603020101020101" pitchFamily="18" charset="-127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26F31-3C41-4C8D-B9B0-9BE29F08E14C}">
  <dimension ref="A1:E2"/>
  <sheetViews>
    <sheetView workbookViewId="0">
      <pane ySplit="1" topLeftCell="A2" activePane="bottomLeft" state="frozen"/>
      <selection pane="bottomLeft" activeCell="D10" sqref="D10"/>
    </sheetView>
  </sheetViews>
  <sheetFormatPr defaultRowHeight="16.5" x14ac:dyDescent="0.3"/>
  <cols>
    <col min="2" max="2" width="11.125" bestFit="1" customWidth="1"/>
    <col min="3" max="3" width="3.375" bestFit="1" customWidth="1"/>
    <col min="4" max="4" width="31.125" bestFit="1" customWidth="1"/>
  </cols>
  <sheetData>
    <row r="1" spans="1:5" x14ac:dyDescent="0.3">
      <c r="A1" t="s">
        <v>230</v>
      </c>
      <c r="B1" t="s">
        <v>231</v>
      </c>
      <c r="D1" t="s">
        <v>232</v>
      </c>
      <c r="E1" t="s">
        <v>233</v>
      </c>
    </row>
    <row r="2" spans="1:5" x14ac:dyDescent="0.3">
      <c r="B2" s="37">
        <v>44190</v>
      </c>
      <c r="C2" s="36">
        <f>B2</f>
        <v>44190</v>
      </c>
      <c r="D2" t="s">
        <v>234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6:AD59"/>
  <sheetViews>
    <sheetView view="pageBreakPreview" zoomScale="115" zoomScaleNormal="100" zoomScaleSheetLayoutView="115" workbookViewId="0"/>
  </sheetViews>
  <sheetFormatPr defaultRowHeight="16.5" x14ac:dyDescent="0.3"/>
  <cols>
    <col min="1" max="1" width="1.625" customWidth="1"/>
    <col min="2" max="2" width="0.625" customWidth="1"/>
    <col min="4" max="4" width="0.625" customWidth="1"/>
    <col min="5" max="5" width="9.875" bestFit="1" customWidth="1"/>
    <col min="6" max="6" width="0.625" customWidth="1"/>
    <col min="7" max="7" width="1.625" customWidth="1"/>
    <col min="8" max="8" width="0.625" customWidth="1"/>
    <col min="10" max="10" width="0.625" customWidth="1"/>
    <col min="11" max="11" width="9.875" bestFit="1" customWidth="1"/>
    <col min="12" max="12" width="0.625" customWidth="1"/>
    <col min="13" max="13" width="1.625" customWidth="1"/>
    <col min="14" max="14" width="0.625" customWidth="1"/>
    <col min="16" max="16" width="0.625" customWidth="1"/>
    <col min="17" max="17" width="9.875" bestFit="1" customWidth="1"/>
    <col min="18" max="18" width="0.625" customWidth="1"/>
    <col min="19" max="19" width="1.625" customWidth="1"/>
    <col min="20" max="20" width="0.625" customWidth="1"/>
    <col min="22" max="22" width="0.625" customWidth="1"/>
    <col min="23" max="23" width="9.875" bestFit="1" customWidth="1"/>
    <col min="24" max="24" width="0.625" customWidth="1"/>
    <col min="25" max="25" width="1.625" customWidth="1"/>
    <col min="26" max="26" width="0.625" customWidth="1"/>
    <col min="28" max="28" width="0.625" customWidth="1"/>
    <col min="29" max="29" width="9.875" bestFit="1" customWidth="1"/>
    <col min="30" max="30" width="0.625" customWidth="1"/>
    <col min="31" max="31" width="1.625" customWidth="1"/>
  </cols>
  <sheetData>
    <row r="6" spans="2:30" ht="20.100000000000001" customHeight="1" x14ac:dyDescent="0.3">
      <c r="B6" s="5"/>
      <c r="C6" s="5"/>
      <c r="D6" s="5"/>
      <c r="E6" s="5"/>
      <c r="F6" s="5"/>
      <c r="H6" s="5"/>
      <c r="I6" s="5"/>
      <c r="J6" s="5"/>
      <c r="K6" s="5"/>
      <c r="L6" s="5"/>
      <c r="N6" s="5"/>
      <c r="O6" s="5"/>
      <c r="P6" s="5"/>
      <c r="Q6" s="5"/>
      <c r="R6" s="5"/>
      <c r="T6" s="5"/>
      <c r="U6" s="5"/>
      <c r="V6" s="5"/>
      <c r="W6" s="5"/>
      <c r="X6" s="5"/>
      <c r="Z6" s="5"/>
      <c r="AA6" s="5"/>
      <c r="AB6" s="5"/>
      <c r="AC6" s="5"/>
      <c r="AD6" s="5"/>
    </row>
    <row r="7" spans="2:30" ht="3.95" customHeight="1" x14ac:dyDescent="0.3">
      <c r="B7" s="5"/>
      <c r="C7" s="5"/>
      <c r="D7" s="5"/>
      <c r="E7" s="5"/>
      <c r="F7" s="5"/>
      <c r="H7" s="5"/>
      <c r="I7" s="5"/>
      <c r="J7" s="5"/>
      <c r="K7" s="5"/>
      <c r="L7" s="5"/>
      <c r="N7" s="5"/>
      <c r="O7" s="5"/>
      <c r="P7" s="5"/>
      <c r="Q7" s="5"/>
      <c r="R7" s="5"/>
      <c r="T7" s="5"/>
      <c r="U7" s="5"/>
      <c r="V7" s="5"/>
      <c r="W7" s="5"/>
      <c r="X7" s="5"/>
      <c r="Z7" s="5"/>
      <c r="AA7" s="5"/>
      <c r="AB7" s="5"/>
      <c r="AC7" s="5"/>
      <c r="AD7" s="5"/>
    </row>
    <row r="8" spans="2:30" ht="3.95" customHeight="1" x14ac:dyDescent="0.3">
      <c r="B8" s="1"/>
      <c r="C8" s="2"/>
      <c r="D8" s="2"/>
      <c r="E8" s="2"/>
      <c r="F8" s="10"/>
      <c r="N8" s="1"/>
      <c r="O8" s="2"/>
      <c r="P8" s="2"/>
      <c r="Q8" s="2"/>
      <c r="R8" s="10"/>
      <c r="Z8" s="1"/>
      <c r="AA8" s="2"/>
      <c r="AB8" s="2"/>
      <c r="AC8" s="2"/>
      <c r="AD8" s="10"/>
    </row>
    <row r="9" spans="2:30" x14ac:dyDescent="0.3">
      <c r="B9" s="4"/>
      <c r="C9" s="45" t="s">
        <v>46</v>
      </c>
      <c r="D9" s="45"/>
      <c r="E9" s="45"/>
      <c r="F9" s="11"/>
      <c r="N9" s="4"/>
      <c r="O9" s="45" t="s">
        <v>44</v>
      </c>
      <c r="P9" s="45"/>
      <c r="Q9" s="45"/>
      <c r="R9" s="11"/>
      <c r="Z9" s="4"/>
      <c r="AA9" s="45" t="s">
        <v>45</v>
      </c>
      <c r="AB9" s="45"/>
      <c r="AC9" s="45"/>
      <c r="AD9" s="11"/>
    </row>
    <row r="10" spans="2:30" x14ac:dyDescent="0.3">
      <c r="B10" s="4"/>
      <c r="C10" s="45"/>
      <c r="D10" s="45"/>
      <c r="E10" s="45"/>
      <c r="F10" s="11"/>
      <c r="N10" s="4"/>
      <c r="O10" s="45"/>
      <c r="P10" s="45"/>
      <c r="Q10" s="45"/>
      <c r="R10" s="11"/>
      <c r="Z10" s="4"/>
      <c r="AA10" s="45"/>
      <c r="AB10" s="45"/>
      <c r="AC10" s="45"/>
      <c r="AD10" s="11"/>
    </row>
    <row r="11" spans="2:30" ht="3.95" customHeight="1" x14ac:dyDescent="0.3">
      <c r="B11" s="13"/>
      <c r="C11" s="14"/>
      <c r="D11" s="14"/>
      <c r="E11" s="14"/>
      <c r="F11" s="12"/>
      <c r="N11" s="13"/>
      <c r="O11" s="14"/>
      <c r="P11" s="14"/>
      <c r="Q11" s="14"/>
      <c r="R11" s="12"/>
      <c r="Z11" s="13"/>
      <c r="AA11" s="14"/>
      <c r="AB11" s="14"/>
      <c r="AC11" s="14"/>
      <c r="AD11" s="12"/>
    </row>
    <row r="12" spans="2:30" ht="3.95" customHeight="1" x14ac:dyDescent="0.3"/>
    <row r="13" spans="2:30" ht="3.95" customHeight="1" x14ac:dyDescent="0.3">
      <c r="B13" s="1"/>
      <c r="C13" s="2"/>
      <c r="D13" s="2"/>
      <c r="E13" s="2"/>
      <c r="F13" s="3"/>
      <c r="N13" s="1"/>
      <c r="O13" s="2"/>
      <c r="P13" s="2"/>
      <c r="Q13" s="2"/>
      <c r="R13" s="3"/>
      <c r="Z13" s="1"/>
      <c r="AA13" s="2"/>
      <c r="AB13" s="2"/>
      <c r="AC13" s="2"/>
      <c r="AD13" s="3"/>
    </row>
    <row r="14" spans="2:30" ht="19.5" x14ac:dyDescent="0.45">
      <c r="B14" s="4"/>
      <c r="C14" s="16" t="s">
        <v>32</v>
      </c>
      <c r="D14" s="5"/>
      <c r="E14" s="15" t="s">
        <v>33</v>
      </c>
      <c r="F14" s="6"/>
      <c r="N14" s="4"/>
      <c r="O14" s="16" t="s">
        <v>0</v>
      </c>
      <c r="P14" s="5"/>
      <c r="Q14" s="15" t="s">
        <v>1</v>
      </c>
      <c r="R14" s="6"/>
      <c r="Z14" s="4"/>
      <c r="AA14" s="16" t="s">
        <v>36</v>
      </c>
      <c r="AB14" s="5"/>
      <c r="AC14" s="15" t="s">
        <v>37</v>
      </c>
      <c r="AD14" s="6"/>
    </row>
    <row r="15" spans="2:30" ht="3.95" customHeight="1" x14ac:dyDescent="0.3">
      <c r="B15" s="4"/>
      <c r="C15" s="5"/>
      <c r="D15" s="5"/>
      <c r="E15" s="5"/>
      <c r="F15" s="6"/>
      <c r="N15" s="4"/>
      <c r="O15" s="5"/>
      <c r="P15" s="5"/>
      <c r="Q15" s="5"/>
      <c r="R15" s="6"/>
      <c r="Z15" s="4"/>
      <c r="AA15" s="5"/>
      <c r="AB15" s="5"/>
      <c r="AC15" s="5"/>
      <c r="AD15" s="6"/>
    </row>
    <row r="16" spans="2:30" ht="18.75" x14ac:dyDescent="0.4">
      <c r="B16" s="4"/>
      <c r="C16" s="17">
        <v>15</v>
      </c>
      <c r="D16" s="5"/>
      <c r="E16" s="18">
        <v>3851.8647999999998</v>
      </c>
      <c r="F16" s="6"/>
      <c r="N16" s="4"/>
      <c r="O16" s="17">
        <v>21</v>
      </c>
      <c r="P16" s="5"/>
      <c r="Q16" s="18">
        <v>8949.3467999999993</v>
      </c>
      <c r="R16" s="6"/>
      <c r="Z16" s="4"/>
      <c r="AA16" s="17">
        <v>15</v>
      </c>
      <c r="AB16" s="5"/>
      <c r="AC16" s="18">
        <v>9342.7000000000007</v>
      </c>
      <c r="AD16" s="6"/>
    </row>
    <row r="17" spans="2:30" ht="3.95" customHeight="1" x14ac:dyDescent="0.3">
      <c r="B17" s="7"/>
      <c r="C17" s="8"/>
      <c r="D17" s="8"/>
      <c r="E17" s="8"/>
      <c r="F17" s="9"/>
      <c r="N17" s="7"/>
      <c r="O17" s="8"/>
      <c r="P17" s="8"/>
      <c r="Q17" s="8"/>
      <c r="R17" s="9"/>
      <c r="Z17" s="7"/>
      <c r="AA17" s="8"/>
      <c r="AB17" s="8"/>
      <c r="AC17" s="8"/>
      <c r="AD17" s="9"/>
    </row>
    <row r="18" spans="2:30" ht="3.95" customHeight="1" x14ac:dyDescent="0.3"/>
    <row r="19" spans="2:30" ht="3.95" customHeight="1" x14ac:dyDescent="0.3">
      <c r="B19" s="1"/>
      <c r="C19" s="2"/>
      <c r="D19" s="2"/>
      <c r="E19" s="2"/>
      <c r="F19" s="3"/>
      <c r="Z19" s="1"/>
      <c r="AA19" s="2"/>
      <c r="AB19" s="2"/>
      <c r="AC19" s="2"/>
      <c r="AD19" s="3"/>
    </row>
    <row r="20" spans="2:30" ht="19.5" x14ac:dyDescent="0.45">
      <c r="B20" s="4"/>
      <c r="C20" s="16" t="s">
        <v>34</v>
      </c>
      <c r="D20" s="5"/>
      <c r="E20" s="15" t="s">
        <v>35</v>
      </c>
      <c r="F20" s="6"/>
      <c r="Z20" s="4"/>
      <c r="AA20" s="16" t="s">
        <v>38</v>
      </c>
      <c r="AB20" s="5"/>
      <c r="AC20" s="15" t="s">
        <v>39</v>
      </c>
      <c r="AD20" s="6"/>
    </row>
    <row r="21" spans="2:30" ht="3.95" customHeight="1" x14ac:dyDescent="0.3">
      <c r="B21" s="4"/>
      <c r="C21" s="5"/>
      <c r="D21" s="5"/>
      <c r="E21" s="5"/>
      <c r="F21" s="6"/>
      <c r="Z21" s="4"/>
      <c r="AA21" s="5"/>
      <c r="AB21" s="5"/>
      <c r="AC21" s="5"/>
      <c r="AD21" s="6"/>
    </row>
    <row r="22" spans="2:30" ht="18.75" x14ac:dyDescent="0.4">
      <c r="B22" s="4"/>
      <c r="C22" s="17">
        <v>18</v>
      </c>
      <c r="D22" s="5"/>
      <c r="E22" s="18">
        <v>8949.3467999999993</v>
      </c>
      <c r="F22" s="6"/>
      <c r="Z22" s="4"/>
      <c r="AA22" s="17">
        <v>16</v>
      </c>
      <c r="AB22" s="5"/>
      <c r="AC22" s="18">
        <v>8836.1528999999991</v>
      </c>
      <c r="AD22" s="6"/>
    </row>
    <row r="23" spans="2:30" ht="3.95" customHeight="1" x14ac:dyDescent="0.3">
      <c r="B23" s="7"/>
      <c r="C23" s="8"/>
      <c r="D23" s="8"/>
      <c r="E23" s="8"/>
      <c r="F23" s="9"/>
      <c r="Z23" s="7"/>
      <c r="AA23" s="8"/>
      <c r="AB23" s="8"/>
      <c r="AC23" s="8"/>
      <c r="AD23" s="9"/>
    </row>
    <row r="24" spans="2:30" ht="3.95" customHeight="1" x14ac:dyDescent="0.3">
      <c r="B24" s="5"/>
      <c r="C24" s="5"/>
      <c r="D24" s="5"/>
      <c r="E24" s="5"/>
      <c r="F24" s="5"/>
      <c r="H24" s="5"/>
      <c r="I24" s="5"/>
      <c r="J24" s="5"/>
      <c r="K24" s="5"/>
      <c r="L24" s="5"/>
      <c r="N24" s="5"/>
      <c r="O24" s="5"/>
      <c r="P24" s="5"/>
      <c r="Q24" s="5"/>
      <c r="R24" s="5"/>
      <c r="T24" s="5"/>
      <c r="U24" s="5"/>
      <c r="V24" s="5"/>
      <c r="W24" s="5"/>
      <c r="X24" s="5"/>
      <c r="Z24" s="5"/>
      <c r="AA24" s="5"/>
      <c r="AB24" s="5"/>
      <c r="AC24" s="5"/>
      <c r="AD24" s="5"/>
    </row>
    <row r="25" spans="2:30" ht="20.100000000000001" customHeight="1" x14ac:dyDescent="0.3">
      <c r="B25" s="5"/>
      <c r="C25" s="5"/>
      <c r="D25" s="5"/>
      <c r="E25" s="5"/>
      <c r="F25" s="5"/>
      <c r="H25" s="5"/>
      <c r="I25" s="5"/>
      <c r="J25" s="5"/>
      <c r="K25" s="5"/>
      <c r="L25" s="5"/>
      <c r="N25" s="5"/>
      <c r="O25" s="5"/>
      <c r="P25" s="5"/>
      <c r="Q25" s="5"/>
      <c r="R25" s="5"/>
      <c r="T25" s="5"/>
      <c r="U25" s="5"/>
      <c r="V25" s="5"/>
      <c r="W25" s="5"/>
      <c r="X25" s="5"/>
      <c r="Z25" s="5"/>
      <c r="AA25" s="5"/>
      <c r="AB25" s="5"/>
      <c r="AC25" s="5"/>
      <c r="AD25" s="5"/>
    </row>
    <row r="26" spans="2:30" ht="20.100000000000001" customHeight="1" x14ac:dyDescent="0.3">
      <c r="B26" s="5"/>
      <c r="C26" s="5"/>
      <c r="D26" s="5"/>
      <c r="E26" s="5"/>
      <c r="F26" s="5"/>
      <c r="H26" s="5"/>
      <c r="I26" s="5"/>
      <c r="J26" s="5"/>
      <c r="K26" s="5"/>
      <c r="L26" s="5"/>
      <c r="N26" s="5"/>
      <c r="O26" s="5"/>
      <c r="P26" s="5"/>
      <c r="Q26" s="5"/>
      <c r="R26" s="5"/>
      <c r="T26" s="5"/>
      <c r="U26" s="5"/>
      <c r="V26" s="5"/>
      <c r="W26" s="5"/>
      <c r="X26" s="5"/>
      <c r="Z26" s="5"/>
      <c r="AA26" s="5"/>
      <c r="AB26" s="5"/>
      <c r="AC26" s="5"/>
      <c r="AD26" s="5"/>
    </row>
    <row r="27" spans="2:30" ht="3.95" customHeight="1" x14ac:dyDescent="0.3">
      <c r="B27" s="5"/>
      <c r="C27" s="5"/>
      <c r="D27" s="5"/>
      <c r="E27" s="5"/>
      <c r="F27" s="5"/>
      <c r="H27" s="5"/>
      <c r="I27" s="5"/>
      <c r="J27" s="5"/>
      <c r="K27" s="5"/>
      <c r="L27" s="5"/>
      <c r="N27" s="5"/>
      <c r="O27" s="5"/>
      <c r="P27" s="5"/>
      <c r="Q27" s="5"/>
      <c r="R27" s="5"/>
      <c r="T27" s="5"/>
      <c r="U27" s="5"/>
      <c r="V27" s="5"/>
      <c r="W27" s="5"/>
      <c r="X27" s="5"/>
      <c r="Z27" s="5"/>
      <c r="AA27" s="5"/>
      <c r="AB27" s="5"/>
      <c r="AC27" s="5"/>
      <c r="AD27" s="5"/>
    </row>
    <row r="28" spans="2:30" ht="3.95" customHeight="1" x14ac:dyDescent="0.3">
      <c r="B28" s="1"/>
      <c r="C28" s="2"/>
      <c r="D28" s="2"/>
      <c r="E28" s="2"/>
      <c r="F28" s="10"/>
      <c r="H28" s="1"/>
      <c r="I28" s="2"/>
      <c r="J28" s="2"/>
      <c r="K28" s="2"/>
      <c r="L28" s="10"/>
      <c r="N28" s="1"/>
      <c r="O28" s="2"/>
      <c r="P28" s="2"/>
      <c r="Q28" s="2"/>
      <c r="R28" s="10"/>
      <c r="T28" s="1"/>
      <c r="U28" s="2"/>
      <c r="V28" s="2"/>
      <c r="W28" s="2"/>
      <c r="X28" s="10"/>
      <c r="Z28" s="1"/>
      <c r="AA28" s="2"/>
      <c r="AB28" s="2"/>
      <c r="AC28" s="2"/>
      <c r="AD28" s="10"/>
    </row>
    <row r="29" spans="2:30" x14ac:dyDescent="0.3">
      <c r="B29" s="4"/>
      <c r="C29" s="45" t="s">
        <v>42</v>
      </c>
      <c r="D29" s="45"/>
      <c r="E29" s="45"/>
      <c r="F29" s="11"/>
      <c r="H29" s="4"/>
      <c r="I29" s="45" t="s">
        <v>43</v>
      </c>
      <c r="J29" s="45"/>
      <c r="K29" s="45"/>
      <c r="L29" s="11"/>
      <c r="N29" s="4"/>
      <c r="O29" s="45" t="s">
        <v>12</v>
      </c>
      <c r="P29" s="45"/>
      <c r="Q29" s="45"/>
      <c r="R29" s="11"/>
      <c r="T29" s="4"/>
      <c r="U29" s="45" t="s">
        <v>19</v>
      </c>
      <c r="V29" s="45"/>
      <c r="W29" s="45"/>
      <c r="X29" s="11"/>
      <c r="Z29" s="4"/>
      <c r="AA29" s="45" t="s">
        <v>26</v>
      </c>
      <c r="AB29" s="45"/>
      <c r="AC29" s="45"/>
      <c r="AD29" s="11"/>
    </row>
    <row r="30" spans="2:30" x14ac:dyDescent="0.3">
      <c r="B30" s="4"/>
      <c r="C30" s="45"/>
      <c r="D30" s="45"/>
      <c r="E30" s="45"/>
      <c r="F30" s="11"/>
      <c r="H30" s="4"/>
      <c r="I30" s="45"/>
      <c r="J30" s="45"/>
      <c r="K30" s="45"/>
      <c r="L30" s="11"/>
      <c r="N30" s="4"/>
      <c r="O30" s="45"/>
      <c r="P30" s="45"/>
      <c r="Q30" s="45"/>
      <c r="R30" s="11"/>
      <c r="T30" s="4"/>
      <c r="U30" s="45"/>
      <c r="V30" s="45"/>
      <c r="W30" s="45"/>
      <c r="X30" s="11"/>
      <c r="Z30" s="4"/>
      <c r="AA30" s="45"/>
      <c r="AB30" s="45"/>
      <c r="AC30" s="45"/>
      <c r="AD30" s="11"/>
    </row>
    <row r="31" spans="2:30" ht="3.95" customHeight="1" x14ac:dyDescent="0.3">
      <c r="B31" s="13"/>
      <c r="C31" s="14"/>
      <c r="D31" s="14"/>
      <c r="E31" s="14"/>
      <c r="F31" s="12"/>
      <c r="H31" s="13"/>
      <c r="I31" s="14"/>
      <c r="J31" s="14"/>
      <c r="K31" s="14"/>
      <c r="L31" s="12"/>
      <c r="N31" s="13"/>
      <c r="O31" s="14"/>
      <c r="P31" s="14"/>
      <c r="Q31" s="14"/>
      <c r="R31" s="12"/>
      <c r="T31" s="13"/>
      <c r="U31" s="14"/>
      <c r="V31" s="14"/>
      <c r="W31" s="14"/>
      <c r="X31" s="12"/>
      <c r="Z31" s="13"/>
      <c r="AA31" s="14"/>
      <c r="AB31" s="14"/>
      <c r="AC31" s="14"/>
      <c r="AD31" s="12"/>
    </row>
    <row r="32" spans="2:30" ht="3.95" customHeight="1" x14ac:dyDescent="0.3"/>
    <row r="33" spans="2:30" ht="3.95" customHeight="1" x14ac:dyDescent="0.3">
      <c r="B33" s="1"/>
      <c r="C33" s="2"/>
      <c r="D33" s="2"/>
      <c r="E33" s="2"/>
      <c r="F33" s="3"/>
      <c r="H33" s="1"/>
      <c r="I33" s="2"/>
      <c r="J33" s="2"/>
      <c r="K33" s="2"/>
      <c r="L33" s="3"/>
      <c r="N33" s="1"/>
      <c r="O33" s="2"/>
      <c r="P33" s="2"/>
      <c r="Q33" s="2"/>
      <c r="R33" s="3"/>
      <c r="T33" s="1"/>
      <c r="U33" s="2"/>
      <c r="V33" s="2"/>
      <c r="W33" s="2"/>
      <c r="X33" s="3"/>
      <c r="Z33" s="1"/>
      <c r="AA33" s="2"/>
      <c r="AB33" s="2"/>
      <c r="AC33" s="2"/>
      <c r="AD33" s="3"/>
    </row>
    <row r="34" spans="2:30" ht="19.5" x14ac:dyDescent="0.45">
      <c r="B34" s="4"/>
      <c r="C34" s="16" t="s">
        <v>2</v>
      </c>
      <c r="D34" s="5"/>
      <c r="E34" s="15" t="s">
        <v>3</v>
      </c>
      <c r="F34" s="6"/>
      <c r="H34" s="4"/>
      <c r="I34" s="16" t="s">
        <v>4</v>
      </c>
      <c r="J34" s="5"/>
      <c r="K34" s="15" t="s">
        <v>5</v>
      </c>
      <c r="L34" s="6"/>
      <c r="N34" s="4"/>
      <c r="O34" s="16" t="s">
        <v>13</v>
      </c>
      <c r="P34" s="5"/>
      <c r="Q34" s="15" t="s">
        <v>14</v>
      </c>
      <c r="R34" s="6"/>
      <c r="T34" s="4"/>
      <c r="U34" s="16" t="s">
        <v>20</v>
      </c>
      <c r="V34" s="5"/>
      <c r="W34" s="15" t="s">
        <v>21</v>
      </c>
      <c r="X34" s="6"/>
      <c r="Z34" s="4"/>
      <c r="AA34" s="16" t="s">
        <v>27</v>
      </c>
      <c r="AB34" s="5"/>
      <c r="AC34" s="15" t="s">
        <v>28</v>
      </c>
      <c r="AD34" s="6"/>
    </row>
    <row r="35" spans="2:30" ht="3.95" customHeight="1" x14ac:dyDescent="0.3">
      <c r="B35" s="4"/>
      <c r="C35" s="5"/>
      <c r="D35" s="5"/>
      <c r="E35" s="5"/>
      <c r="F35" s="6"/>
      <c r="H35" s="4"/>
      <c r="I35" s="5"/>
      <c r="J35" s="5"/>
      <c r="K35" s="5"/>
      <c r="L35" s="6"/>
      <c r="N35" s="4"/>
      <c r="O35" s="5"/>
      <c r="P35" s="5"/>
      <c r="Q35" s="5"/>
      <c r="R35" s="6"/>
      <c r="T35" s="4"/>
      <c r="U35" s="5"/>
      <c r="V35" s="5"/>
      <c r="W35" s="5"/>
      <c r="X35" s="6"/>
      <c r="Z35" s="4"/>
      <c r="AA35" s="5"/>
      <c r="AB35" s="5"/>
      <c r="AC35" s="5"/>
      <c r="AD35" s="6"/>
    </row>
    <row r="36" spans="2:30" ht="18.75" x14ac:dyDescent="0.4">
      <c r="B36" s="4"/>
      <c r="C36" s="17">
        <v>18</v>
      </c>
      <c r="D36" s="5"/>
      <c r="E36" s="18">
        <v>7327.4170999999997</v>
      </c>
      <c r="F36" s="6"/>
      <c r="H36" s="4"/>
      <c r="I36" s="17">
        <v>21</v>
      </c>
      <c r="J36" s="5"/>
      <c r="K36" s="18">
        <v>8949.3467999999993</v>
      </c>
      <c r="L36" s="6"/>
      <c r="N36" s="4"/>
      <c r="O36" s="17">
        <v>17</v>
      </c>
      <c r="P36" s="5"/>
      <c r="Q36" s="18">
        <v>4065.2975999999999</v>
      </c>
      <c r="R36" s="6"/>
      <c r="T36" s="4"/>
      <c r="U36" s="17">
        <v>18</v>
      </c>
      <c r="V36" s="5"/>
      <c r="W36" s="18">
        <v>3589.0549999999998</v>
      </c>
      <c r="X36" s="6"/>
      <c r="Z36" s="4"/>
      <c r="AA36" s="17">
        <v>18</v>
      </c>
      <c r="AB36" s="5"/>
      <c r="AC36" s="18">
        <v>3884.8040000000001</v>
      </c>
      <c r="AD36" s="6"/>
    </row>
    <row r="37" spans="2:30" ht="3.95" customHeight="1" x14ac:dyDescent="0.3">
      <c r="B37" s="7"/>
      <c r="C37" s="8"/>
      <c r="D37" s="8"/>
      <c r="E37" s="8"/>
      <c r="F37" s="9"/>
      <c r="H37" s="7"/>
      <c r="I37" s="8"/>
      <c r="J37" s="8"/>
      <c r="K37" s="8"/>
      <c r="L37" s="9"/>
      <c r="N37" s="7"/>
      <c r="O37" s="8"/>
      <c r="P37" s="8"/>
      <c r="Q37" s="8"/>
      <c r="R37" s="9"/>
      <c r="T37" s="7"/>
      <c r="U37" s="8"/>
      <c r="V37" s="8"/>
      <c r="W37" s="8"/>
      <c r="X37" s="9"/>
      <c r="Z37" s="7"/>
      <c r="AA37" s="8"/>
      <c r="AB37" s="8"/>
      <c r="AC37" s="8"/>
      <c r="AD37" s="9"/>
    </row>
    <row r="38" spans="2:30" ht="3.95" customHeight="1" x14ac:dyDescent="0.3"/>
    <row r="39" spans="2:30" ht="3.95" customHeight="1" x14ac:dyDescent="0.3">
      <c r="B39" s="1"/>
      <c r="C39" s="2"/>
      <c r="D39" s="2"/>
      <c r="E39" s="2"/>
      <c r="F39" s="3"/>
      <c r="H39" s="1"/>
      <c r="I39" s="2"/>
      <c r="J39" s="2"/>
      <c r="K39" s="2"/>
      <c r="L39" s="3"/>
      <c r="N39" s="1"/>
      <c r="O39" s="2"/>
      <c r="P39" s="2"/>
      <c r="Q39" s="2"/>
      <c r="R39" s="3"/>
      <c r="T39" s="1"/>
      <c r="U39" s="2"/>
      <c r="V39" s="2"/>
      <c r="W39" s="2"/>
      <c r="X39" s="3"/>
      <c r="Z39" s="1"/>
      <c r="AA39" s="2"/>
      <c r="AB39" s="2"/>
      <c r="AC39" s="2"/>
      <c r="AD39" s="3"/>
    </row>
    <row r="40" spans="2:30" ht="19.5" x14ac:dyDescent="0.45">
      <c r="B40" s="4"/>
      <c r="C40" s="16" t="s">
        <v>10</v>
      </c>
      <c r="D40" s="5"/>
      <c r="E40" s="15" t="s">
        <v>11</v>
      </c>
      <c r="F40" s="6"/>
      <c r="H40" s="4"/>
      <c r="I40" s="16" t="s">
        <v>6</v>
      </c>
      <c r="J40" s="5"/>
      <c r="K40" s="15" t="s">
        <v>7</v>
      </c>
      <c r="L40" s="6"/>
      <c r="N40" s="4"/>
      <c r="O40" s="16" t="s">
        <v>15</v>
      </c>
      <c r="P40" s="5"/>
      <c r="Q40" s="15" t="s">
        <v>16</v>
      </c>
      <c r="R40" s="6"/>
      <c r="T40" s="4"/>
      <c r="U40" s="16" t="s">
        <v>47</v>
      </c>
      <c r="V40" s="5"/>
      <c r="W40" s="15" t="s">
        <v>48</v>
      </c>
      <c r="X40" s="6"/>
      <c r="Z40" s="4"/>
      <c r="AA40" s="16" t="s">
        <v>29</v>
      </c>
      <c r="AB40" s="5"/>
      <c r="AC40" s="15" t="s">
        <v>30</v>
      </c>
      <c r="AD40" s="6"/>
    </row>
    <row r="41" spans="2:30" ht="3.95" customHeight="1" x14ac:dyDescent="0.3">
      <c r="B41" s="4"/>
      <c r="C41" s="5"/>
      <c r="D41" s="5"/>
      <c r="E41" s="5"/>
      <c r="F41" s="6"/>
      <c r="H41" s="4"/>
      <c r="I41" s="5"/>
      <c r="J41" s="5"/>
      <c r="K41" s="5"/>
      <c r="L41" s="6"/>
      <c r="N41" s="4"/>
      <c r="O41" s="5"/>
      <c r="P41" s="5"/>
      <c r="Q41" s="5"/>
      <c r="R41" s="6"/>
      <c r="T41" s="4"/>
      <c r="U41" s="5"/>
      <c r="V41" s="5"/>
      <c r="W41" s="5"/>
      <c r="X41" s="6"/>
      <c r="Z41" s="4"/>
      <c r="AA41" s="5"/>
      <c r="AB41" s="5"/>
      <c r="AC41" s="5"/>
      <c r="AD41" s="6"/>
    </row>
    <row r="42" spans="2:30" ht="18.75" x14ac:dyDescent="0.4">
      <c r="B42" s="4"/>
      <c r="C42" s="17">
        <v>23</v>
      </c>
      <c r="D42" s="5"/>
      <c r="E42" s="18">
        <v>9320.3811000000005</v>
      </c>
      <c r="F42" s="6"/>
      <c r="H42" s="4"/>
      <c r="I42" s="17">
        <v>22</v>
      </c>
      <c r="J42" s="5"/>
      <c r="K42" s="18">
        <v>7501.0505000000003</v>
      </c>
      <c r="L42" s="6"/>
      <c r="N42" s="4"/>
      <c r="O42" s="17">
        <v>17</v>
      </c>
      <c r="P42" s="5"/>
      <c r="Q42" s="18">
        <v>2565.6963000000001</v>
      </c>
      <c r="R42" s="6"/>
      <c r="T42" s="4"/>
      <c r="U42" s="17">
        <v>18</v>
      </c>
      <c r="V42" s="5"/>
      <c r="W42" s="18">
        <v>9483.3485999999994</v>
      </c>
      <c r="X42" s="6"/>
      <c r="Z42" s="4"/>
      <c r="AA42" s="17">
        <v>20</v>
      </c>
      <c r="AB42" s="5"/>
      <c r="AC42" s="18">
        <v>3565.5711000000001</v>
      </c>
      <c r="AD42" s="6"/>
    </row>
    <row r="43" spans="2:30" ht="3.95" customHeight="1" x14ac:dyDescent="0.3">
      <c r="B43" s="7"/>
      <c r="C43" s="8"/>
      <c r="D43" s="8"/>
      <c r="E43" s="8"/>
      <c r="F43" s="9"/>
      <c r="H43" s="7"/>
      <c r="I43" s="8"/>
      <c r="J43" s="8"/>
      <c r="K43" s="8"/>
      <c r="L43" s="9"/>
      <c r="N43" s="7"/>
      <c r="O43" s="8"/>
      <c r="P43" s="8"/>
      <c r="Q43" s="8"/>
      <c r="R43" s="9"/>
      <c r="T43" s="7"/>
      <c r="U43" s="8"/>
      <c r="V43" s="8"/>
      <c r="W43" s="8"/>
      <c r="X43" s="9"/>
      <c r="Z43" s="7"/>
      <c r="AA43" s="8"/>
      <c r="AB43" s="8"/>
      <c r="AC43" s="8"/>
      <c r="AD43" s="9"/>
    </row>
    <row r="44" spans="2:30" ht="3.95" customHeight="1" x14ac:dyDescent="0.3"/>
    <row r="45" spans="2:30" ht="3.95" customHeight="1" x14ac:dyDescent="0.3">
      <c r="H45" s="1"/>
      <c r="I45" s="2"/>
      <c r="J45" s="2"/>
      <c r="K45" s="2"/>
      <c r="L45" s="3"/>
      <c r="N45" s="1"/>
      <c r="O45" s="2"/>
      <c r="P45" s="2"/>
      <c r="Q45" s="2"/>
      <c r="R45" s="3"/>
      <c r="T45" s="1"/>
      <c r="U45" s="2"/>
      <c r="V45" s="2"/>
      <c r="W45" s="2"/>
      <c r="X45" s="3"/>
    </row>
    <row r="46" spans="2:30" ht="19.5" x14ac:dyDescent="0.45">
      <c r="H46" s="4"/>
      <c r="I46" s="16" t="s">
        <v>8</v>
      </c>
      <c r="J46" s="5"/>
      <c r="K46" s="15" t="s">
        <v>9</v>
      </c>
      <c r="L46" s="6"/>
      <c r="N46" s="4"/>
      <c r="O46" s="16" t="s">
        <v>17</v>
      </c>
      <c r="P46" s="5"/>
      <c r="Q46" s="15" t="s">
        <v>18</v>
      </c>
      <c r="R46" s="6"/>
      <c r="T46" s="4"/>
      <c r="U46" s="16" t="s">
        <v>22</v>
      </c>
      <c r="V46" s="5"/>
      <c r="W46" s="15" t="s">
        <v>23</v>
      </c>
      <c r="X46" s="6"/>
    </row>
    <row r="47" spans="2:30" ht="3.95" customHeight="1" x14ac:dyDescent="0.3">
      <c r="H47" s="4"/>
      <c r="I47" s="5"/>
      <c r="J47" s="5"/>
      <c r="K47" s="5"/>
      <c r="L47" s="6"/>
      <c r="N47" s="4"/>
      <c r="O47" s="5"/>
      <c r="P47" s="5"/>
      <c r="Q47" s="5"/>
      <c r="R47" s="6"/>
      <c r="T47" s="4"/>
      <c r="U47" s="5"/>
      <c r="V47" s="5"/>
      <c r="W47" s="5"/>
      <c r="X47" s="6"/>
    </row>
    <row r="48" spans="2:30" ht="18.75" x14ac:dyDescent="0.4">
      <c r="H48" s="4"/>
      <c r="I48" s="17">
        <v>23</v>
      </c>
      <c r="J48" s="5"/>
      <c r="K48" s="18">
        <v>3844.3811000000001</v>
      </c>
      <c r="L48" s="6"/>
      <c r="N48" s="4"/>
      <c r="O48" s="17">
        <v>19</v>
      </c>
      <c r="P48" s="5"/>
      <c r="Q48" s="18">
        <v>7722.2408999999998</v>
      </c>
      <c r="R48" s="6"/>
      <c r="T48" s="4"/>
      <c r="U48" s="17">
        <v>24</v>
      </c>
      <c r="V48" s="5"/>
      <c r="W48" s="18">
        <v>5267.3621999999996</v>
      </c>
      <c r="X48" s="6"/>
    </row>
    <row r="49" spans="3:29" ht="3.95" customHeight="1" x14ac:dyDescent="0.3">
      <c r="H49" s="7"/>
      <c r="I49" s="8"/>
      <c r="J49" s="8"/>
      <c r="K49" s="8"/>
      <c r="L49" s="9"/>
      <c r="N49" s="7"/>
      <c r="O49" s="8"/>
      <c r="P49" s="8"/>
      <c r="Q49" s="8"/>
      <c r="R49" s="9"/>
      <c r="T49" s="7"/>
      <c r="U49" s="8"/>
      <c r="V49" s="8"/>
      <c r="W49" s="8"/>
      <c r="X49" s="9"/>
    </row>
    <row r="50" spans="3:29" ht="3.95" customHeight="1" x14ac:dyDescent="0.3"/>
    <row r="51" spans="3:29" ht="3.95" customHeight="1" x14ac:dyDescent="0.3">
      <c r="N51" s="1"/>
      <c r="O51" s="2"/>
      <c r="P51" s="2"/>
      <c r="Q51" s="2"/>
      <c r="R51" s="3"/>
      <c r="T51" s="1"/>
      <c r="U51" s="2"/>
      <c r="V51" s="2"/>
      <c r="W51" s="2"/>
      <c r="X51" s="3"/>
    </row>
    <row r="52" spans="3:29" ht="19.5" x14ac:dyDescent="0.45">
      <c r="N52" s="4"/>
      <c r="O52" s="16" t="s">
        <v>24</v>
      </c>
      <c r="P52" s="5"/>
      <c r="Q52" s="15" t="s">
        <v>25</v>
      </c>
      <c r="R52" s="6"/>
      <c r="T52" s="4"/>
      <c r="U52" s="16" t="s">
        <v>24</v>
      </c>
      <c r="V52" s="5"/>
      <c r="W52" s="15" t="s">
        <v>25</v>
      </c>
      <c r="X52" s="6"/>
    </row>
    <row r="53" spans="3:29" ht="3.95" customHeight="1" x14ac:dyDescent="0.3">
      <c r="N53" s="4"/>
      <c r="O53" s="5"/>
      <c r="P53" s="5"/>
      <c r="Q53" s="5"/>
      <c r="R53" s="6"/>
      <c r="T53" s="4"/>
      <c r="U53" s="5"/>
      <c r="V53" s="5"/>
      <c r="W53" s="5"/>
      <c r="X53" s="6"/>
    </row>
    <row r="54" spans="3:29" ht="18.75" x14ac:dyDescent="0.4">
      <c r="N54" s="4"/>
      <c r="O54" s="17">
        <v>25</v>
      </c>
      <c r="P54" s="5"/>
      <c r="Q54" s="18">
        <v>3839.5608999999999</v>
      </c>
      <c r="R54" s="6"/>
      <c r="T54" s="4"/>
      <c r="U54" s="17">
        <v>25</v>
      </c>
      <c r="V54" s="5"/>
      <c r="W54" s="18">
        <v>3839.5608999999999</v>
      </c>
      <c r="X54" s="6"/>
    </row>
    <row r="55" spans="3:29" ht="3.95" customHeight="1" x14ac:dyDescent="0.3">
      <c r="N55" s="7"/>
      <c r="O55" s="8"/>
      <c r="P55" s="8"/>
      <c r="Q55" s="8"/>
      <c r="R55" s="9"/>
      <c r="T55" s="7"/>
      <c r="U55" s="8"/>
      <c r="V55" s="8"/>
      <c r="W55" s="8"/>
      <c r="X55" s="9"/>
    </row>
    <row r="56" spans="3:29" x14ac:dyDescent="0.3">
      <c r="AC56" s="19" t="s">
        <v>49</v>
      </c>
    </row>
    <row r="58" spans="3:29" x14ac:dyDescent="0.3">
      <c r="C58" t="s">
        <v>40</v>
      </c>
    </row>
    <row r="59" spans="3:29" x14ac:dyDescent="0.3">
      <c r="C59" t="s">
        <v>41</v>
      </c>
    </row>
  </sheetData>
  <mergeCells count="8">
    <mergeCell ref="C9:E10"/>
    <mergeCell ref="O9:Q10"/>
    <mergeCell ref="AA9:AC10"/>
    <mergeCell ref="C29:E30"/>
    <mergeCell ref="I29:K30"/>
    <mergeCell ref="O29:Q30"/>
    <mergeCell ref="U29:W30"/>
    <mergeCell ref="AA29:AC30"/>
  </mergeCells>
  <phoneticPr fontId="1" type="noConversion"/>
  <printOptions horizontalCentered="1" verticalCentered="1"/>
  <pageMargins left="0" right="0" top="0" bottom="0" header="0" footer="0"/>
  <pageSetup paperSize="9" scale="92" orientation="landscape" r:id="rId1"/>
  <rowBreaks count="1" manualBreakCount="1">
    <brk id="56" max="30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748CB-3DCC-44CE-BFA5-9B56B1B73E37}">
  <dimension ref="B2:F167"/>
  <sheetViews>
    <sheetView view="pageBreakPreview" topLeftCell="A129" zoomScale="115" zoomScaleNormal="100" zoomScaleSheetLayoutView="115" workbookViewId="0">
      <selection activeCell="I163" sqref="I163"/>
    </sheetView>
  </sheetViews>
  <sheetFormatPr defaultRowHeight="16.5" x14ac:dyDescent="0.3"/>
  <cols>
    <col min="1" max="1" width="1.625" customWidth="1"/>
    <col min="2" max="2" width="0.625" customWidth="1"/>
    <col min="4" max="4" width="0.625" customWidth="1"/>
    <col min="5" max="5" width="9.875" bestFit="1" customWidth="1"/>
    <col min="6" max="6" width="0.625" customWidth="1"/>
    <col min="7" max="7" width="1.625" customWidth="1"/>
  </cols>
  <sheetData>
    <row r="2" spans="2:6" ht="3.95" customHeight="1" x14ac:dyDescent="0.3">
      <c r="B2" s="1"/>
      <c r="C2" s="2"/>
      <c r="D2" s="2"/>
      <c r="E2" s="2"/>
      <c r="F2" s="10"/>
    </row>
    <row r="3" spans="2:6" x14ac:dyDescent="0.3">
      <c r="B3" s="4"/>
      <c r="C3" s="45" t="s">
        <v>44</v>
      </c>
      <c r="D3" s="45"/>
      <c r="E3" s="45"/>
      <c r="F3" s="11"/>
    </row>
    <row r="4" spans="2:6" x14ac:dyDescent="0.3">
      <c r="B4" s="4"/>
      <c r="C4" s="45"/>
      <c r="D4" s="45"/>
      <c r="E4" s="45"/>
      <c r="F4" s="11"/>
    </row>
    <row r="5" spans="2:6" ht="3.95" customHeight="1" x14ac:dyDescent="0.3">
      <c r="B5" s="13"/>
      <c r="C5" s="14"/>
      <c r="D5" s="14"/>
      <c r="E5" s="14"/>
      <c r="F5" s="12"/>
    </row>
    <row r="6" spans="2:6" ht="3.95" customHeight="1" x14ac:dyDescent="0.3">
      <c r="B6" s="5"/>
      <c r="C6" s="5"/>
      <c r="D6" s="5"/>
      <c r="E6" s="5"/>
      <c r="F6" s="5"/>
    </row>
    <row r="7" spans="2:6" ht="3.95" customHeight="1" x14ac:dyDescent="0.3">
      <c r="B7" s="1"/>
      <c r="C7" s="2"/>
      <c r="D7" s="2"/>
      <c r="E7" s="2"/>
      <c r="F7" s="10"/>
    </row>
    <row r="8" spans="2:6" x14ac:dyDescent="0.3">
      <c r="B8" s="4"/>
      <c r="C8" s="45" t="s">
        <v>45</v>
      </c>
      <c r="D8" s="45"/>
      <c r="E8" s="45"/>
      <c r="F8" s="11"/>
    </row>
    <row r="9" spans="2:6" x14ac:dyDescent="0.3">
      <c r="B9" s="4"/>
      <c r="C9" s="45"/>
      <c r="D9" s="45"/>
      <c r="E9" s="45"/>
      <c r="F9" s="11"/>
    </row>
    <row r="10" spans="2:6" ht="3.95" customHeight="1" x14ac:dyDescent="0.3">
      <c r="B10" s="13"/>
      <c r="C10" s="14"/>
      <c r="D10" s="14"/>
      <c r="E10" s="14"/>
      <c r="F10" s="12"/>
    </row>
    <row r="11" spans="2:6" ht="3.95" customHeight="1" x14ac:dyDescent="0.3">
      <c r="B11" s="5"/>
      <c r="C11" s="5"/>
      <c r="D11" s="5"/>
      <c r="E11" s="5"/>
      <c r="F11" s="5"/>
    </row>
    <row r="12" spans="2:6" ht="3.95" customHeight="1" x14ac:dyDescent="0.3">
      <c r="B12" s="1"/>
      <c r="C12" s="2"/>
      <c r="D12" s="2"/>
      <c r="E12" s="2"/>
      <c r="F12" s="10"/>
    </row>
    <row r="13" spans="2:6" x14ac:dyDescent="0.3">
      <c r="B13" s="4"/>
      <c r="C13" s="45" t="s">
        <v>31</v>
      </c>
      <c r="D13" s="45"/>
      <c r="E13" s="45"/>
      <c r="F13" s="11"/>
    </row>
    <row r="14" spans="2:6" x14ac:dyDescent="0.3">
      <c r="B14" s="4"/>
      <c r="C14" s="45"/>
      <c r="D14" s="45"/>
      <c r="E14" s="45"/>
      <c r="F14" s="11"/>
    </row>
    <row r="15" spans="2:6" ht="3.95" customHeight="1" x14ac:dyDescent="0.3">
      <c r="B15" s="13"/>
      <c r="C15" s="14"/>
      <c r="D15" s="14"/>
      <c r="E15" s="14"/>
      <c r="F15" s="12"/>
    </row>
    <row r="16" spans="2:6" ht="3.95" customHeight="1" x14ac:dyDescent="0.3">
      <c r="B16" s="5"/>
      <c r="C16" s="5"/>
      <c r="D16" s="5"/>
      <c r="E16" s="5"/>
      <c r="F16" s="5"/>
    </row>
    <row r="17" spans="2:6" ht="3.95" customHeight="1" x14ac:dyDescent="0.3">
      <c r="B17" s="1"/>
      <c r="C17" s="2"/>
      <c r="D17" s="2"/>
      <c r="E17" s="2"/>
      <c r="F17" s="10"/>
    </row>
    <row r="18" spans="2:6" x14ac:dyDescent="0.3">
      <c r="B18" s="4"/>
      <c r="C18" s="45" t="s">
        <v>42</v>
      </c>
      <c r="D18" s="45"/>
      <c r="E18" s="45"/>
      <c r="F18" s="11"/>
    </row>
    <row r="19" spans="2:6" x14ac:dyDescent="0.3">
      <c r="B19" s="4"/>
      <c r="C19" s="45"/>
      <c r="D19" s="45"/>
      <c r="E19" s="45"/>
      <c r="F19" s="11"/>
    </row>
    <row r="20" spans="2:6" ht="3.95" customHeight="1" x14ac:dyDescent="0.3">
      <c r="B20" s="13"/>
      <c r="C20" s="14"/>
      <c r="D20" s="14"/>
      <c r="E20" s="14"/>
      <c r="F20" s="12"/>
    </row>
    <row r="21" spans="2:6" ht="3.95" customHeight="1" x14ac:dyDescent="0.3">
      <c r="B21" s="5"/>
      <c r="C21" s="5"/>
      <c r="D21" s="5"/>
      <c r="E21" s="5"/>
      <c r="F21" s="5"/>
    </row>
    <row r="22" spans="2:6" ht="3.95" customHeight="1" x14ac:dyDescent="0.3">
      <c r="B22" s="1"/>
      <c r="C22" s="2"/>
      <c r="D22" s="2"/>
      <c r="E22" s="2"/>
      <c r="F22" s="10"/>
    </row>
    <row r="23" spans="2:6" x14ac:dyDescent="0.3">
      <c r="B23" s="4"/>
      <c r="C23" s="45" t="s">
        <v>43</v>
      </c>
      <c r="D23" s="45"/>
      <c r="E23" s="45"/>
      <c r="F23" s="11"/>
    </row>
    <row r="24" spans="2:6" x14ac:dyDescent="0.3">
      <c r="B24" s="4"/>
      <c r="C24" s="45"/>
      <c r="D24" s="45"/>
      <c r="E24" s="45"/>
      <c r="F24" s="11"/>
    </row>
    <row r="25" spans="2:6" ht="3.95" customHeight="1" x14ac:dyDescent="0.3">
      <c r="B25" s="13"/>
      <c r="C25" s="14"/>
      <c r="D25" s="14"/>
      <c r="E25" s="14"/>
      <c r="F25" s="12"/>
    </row>
    <row r="26" spans="2:6" ht="3.95" customHeight="1" x14ac:dyDescent="0.3">
      <c r="B26" s="5"/>
      <c r="C26" s="5"/>
      <c r="D26" s="5"/>
      <c r="E26" s="5"/>
      <c r="F26" s="5"/>
    </row>
    <row r="27" spans="2:6" ht="3.95" customHeight="1" x14ac:dyDescent="0.3">
      <c r="B27" s="1"/>
      <c r="C27" s="2"/>
      <c r="D27" s="2"/>
      <c r="E27" s="2"/>
      <c r="F27" s="10"/>
    </row>
    <row r="28" spans="2:6" x14ac:dyDescent="0.3">
      <c r="B28" s="4"/>
      <c r="C28" s="45" t="s">
        <v>12</v>
      </c>
      <c r="D28" s="45"/>
      <c r="E28" s="45"/>
      <c r="F28" s="11"/>
    </row>
    <row r="29" spans="2:6" x14ac:dyDescent="0.3">
      <c r="B29" s="4"/>
      <c r="C29" s="45"/>
      <c r="D29" s="45"/>
      <c r="E29" s="45"/>
      <c r="F29" s="11"/>
    </row>
    <row r="30" spans="2:6" ht="3.95" customHeight="1" x14ac:dyDescent="0.3">
      <c r="B30" s="13"/>
      <c r="C30" s="14"/>
      <c r="D30" s="14"/>
      <c r="E30" s="14"/>
      <c r="F30" s="12"/>
    </row>
    <row r="31" spans="2:6" ht="3.95" customHeight="1" x14ac:dyDescent="0.3">
      <c r="B31" s="5"/>
      <c r="C31" s="5"/>
      <c r="D31" s="5"/>
      <c r="E31" s="5"/>
      <c r="F31" s="5"/>
    </row>
    <row r="32" spans="2:6" ht="3.95" customHeight="1" x14ac:dyDescent="0.3">
      <c r="B32" s="1"/>
      <c r="C32" s="2"/>
      <c r="D32" s="2"/>
      <c r="E32" s="2"/>
      <c r="F32" s="10"/>
    </row>
    <row r="33" spans="2:6" x14ac:dyDescent="0.3">
      <c r="B33" s="4"/>
      <c r="C33" s="45" t="s">
        <v>19</v>
      </c>
      <c r="D33" s="45"/>
      <c r="E33" s="45"/>
      <c r="F33" s="11"/>
    </row>
    <row r="34" spans="2:6" x14ac:dyDescent="0.3">
      <c r="B34" s="4"/>
      <c r="C34" s="45"/>
      <c r="D34" s="45"/>
      <c r="E34" s="45"/>
      <c r="F34" s="11"/>
    </row>
    <row r="35" spans="2:6" ht="3.95" customHeight="1" x14ac:dyDescent="0.3">
      <c r="B35" s="13"/>
      <c r="C35" s="14"/>
      <c r="D35" s="14"/>
      <c r="E35" s="14"/>
      <c r="F35" s="12"/>
    </row>
    <row r="36" spans="2:6" ht="3.95" customHeight="1" x14ac:dyDescent="0.3">
      <c r="B36" s="5"/>
      <c r="C36" s="5"/>
      <c r="D36" s="5"/>
      <c r="E36" s="5"/>
      <c r="F36" s="5"/>
    </row>
    <row r="37" spans="2:6" ht="3.95" customHeight="1" x14ac:dyDescent="0.3">
      <c r="B37" s="1"/>
      <c r="C37" s="2"/>
      <c r="D37" s="2"/>
      <c r="E37" s="2"/>
      <c r="F37" s="10"/>
    </row>
    <row r="38" spans="2:6" x14ac:dyDescent="0.3">
      <c r="B38" s="4"/>
      <c r="C38" s="45" t="s">
        <v>26</v>
      </c>
      <c r="D38" s="45"/>
      <c r="E38" s="45"/>
      <c r="F38" s="11"/>
    </row>
    <row r="39" spans="2:6" x14ac:dyDescent="0.3">
      <c r="B39" s="4"/>
      <c r="C39" s="45"/>
      <c r="D39" s="45"/>
      <c r="E39" s="45"/>
      <c r="F39" s="11"/>
    </row>
    <row r="40" spans="2:6" ht="3.95" customHeight="1" x14ac:dyDescent="0.3">
      <c r="B40" s="13"/>
      <c r="C40" s="14"/>
      <c r="D40" s="14"/>
      <c r="E40" s="14"/>
      <c r="F40" s="12"/>
    </row>
    <row r="41" spans="2:6" ht="3.95" customHeight="1" x14ac:dyDescent="0.3"/>
    <row r="42" spans="2:6" ht="3.95" customHeight="1" x14ac:dyDescent="0.3">
      <c r="B42" s="1"/>
      <c r="C42" s="2"/>
      <c r="D42" s="2"/>
      <c r="E42" s="2"/>
      <c r="F42" s="3"/>
    </row>
    <row r="43" spans="2:6" ht="19.5" x14ac:dyDescent="0.45">
      <c r="B43" s="4"/>
      <c r="C43" s="16" t="s">
        <v>32</v>
      </c>
      <c r="D43" s="5"/>
      <c r="E43" s="15" t="s">
        <v>33</v>
      </c>
      <c r="F43" s="6"/>
    </row>
    <row r="44" spans="2:6" ht="3.95" customHeight="1" x14ac:dyDescent="0.3">
      <c r="B44" s="4"/>
      <c r="C44" s="5"/>
      <c r="D44" s="5"/>
      <c r="E44" s="5"/>
      <c r="F44" s="6"/>
    </row>
    <row r="45" spans="2:6" ht="18.75" x14ac:dyDescent="0.4">
      <c r="B45" s="4"/>
      <c r="C45" s="17">
        <v>15</v>
      </c>
      <c r="D45" s="5"/>
      <c r="E45" s="18">
        <v>3851.8647999999998</v>
      </c>
      <c r="F45" s="6"/>
    </row>
    <row r="46" spans="2:6" ht="3.95" customHeight="1" x14ac:dyDescent="0.3">
      <c r="B46" s="7"/>
      <c r="C46" s="8"/>
      <c r="D46" s="8"/>
      <c r="E46" s="8"/>
      <c r="F46" s="9"/>
    </row>
    <row r="47" spans="2:6" ht="3.95" customHeight="1" x14ac:dyDescent="0.3"/>
    <row r="48" spans="2:6" ht="3.95" customHeight="1" x14ac:dyDescent="0.3">
      <c r="B48" s="1"/>
      <c r="C48" s="2"/>
      <c r="D48" s="2"/>
      <c r="E48" s="2"/>
      <c r="F48" s="3"/>
    </row>
    <row r="49" spans="2:6" ht="19.5" x14ac:dyDescent="0.45">
      <c r="B49" s="4"/>
      <c r="C49" s="16" t="s">
        <v>36</v>
      </c>
      <c r="D49" s="5"/>
      <c r="E49" s="15" t="s">
        <v>37</v>
      </c>
      <c r="F49" s="6"/>
    </row>
    <row r="50" spans="2:6" ht="3.95" customHeight="1" x14ac:dyDescent="0.3">
      <c r="B50" s="4"/>
      <c r="C50" s="5"/>
      <c r="D50" s="5"/>
      <c r="E50" s="5"/>
      <c r="F50" s="6"/>
    </row>
    <row r="51" spans="2:6" ht="18.75" x14ac:dyDescent="0.4">
      <c r="B51" s="4"/>
      <c r="C51" s="17">
        <v>15</v>
      </c>
      <c r="D51" s="5"/>
      <c r="E51" s="18">
        <v>9342.7000000000007</v>
      </c>
      <c r="F51" s="6"/>
    </row>
    <row r="52" spans="2:6" ht="3.95" customHeight="1" x14ac:dyDescent="0.3">
      <c r="B52" s="7"/>
      <c r="C52" s="8"/>
      <c r="D52" s="8"/>
      <c r="E52" s="8"/>
      <c r="F52" s="9"/>
    </row>
    <row r="53" spans="2:6" ht="3.95" customHeight="1" x14ac:dyDescent="0.3">
      <c r="B53" s="5"/>
      <c r="C53" s="5"/>
      <c r="D53" s="5"/>
      <c r="E53" s="5"/>
      <c r="F53" s="5"/>
    </row>
    <row r="54" spans="2:6" ht="3.95" customHeight="1" x14ac:dyDescent="0.3"/>
    <row r="55" spans="2:6" ht="3.95" customHeight="1" x14ac:dyDescent="0.3">
      <c r="B55" s="1"/>
      <c r="C55" s="2"/>
      <c r="D55" s="2"/>
      <c r="E55" s="2"/>
      <c r="F55" s="3"/>
    </row>
    <row r="56" spans="2:6" ht="19.5" x14ac:dyDescent="0.45">
      <c r="B56" s="4"/>
      <c r="C56" s="16" t="s">
        <v>38</v>
      </c>
      <c r="D56" s="5"/>
      <c r="E56" s="15" t="s">
        <v>39</v>
      </c>
      <c r="F56" s="6"/>
    </row>
    <row r="57" spans="2:6" ht="3.95" customHeight="1" x14ac:dyDescent="0.3">
      <c r="B57" s="4"/>
      <c r="C57" s="5"/>
      <c r="D57" s="5"/>
      <c r="E57" s="5"/>
      <c r="F57" s="6"/>
    </row>
    <row r="58" spans="2:6" ht="18.75" x14ac:dyDescent="0.4">
      <c r="B58" s="4"/>
      <c r="C58" s="17">
        <v>16</v>
      </c>
      <c r="D58" s="5"/>
      <c r="E58" s="18">
        <v>8836.1528999999991</v>
      </c>
      <c r="F58" s="6"/>
    </row>
    <row r="59" spans="2:6" ht="3.95" customHeight="1" x14ac:dyDescent="0.3">
      <c r="B59" s="7"/>
      <c r="C59" s="8"/>
      <c r="D59" s="8"/>
      <c r="E59" s="8"/>
      <c r="F59" s="9"/>
    </row>
    <row r="60" spans="2:6" ht="3.95" customHeight="1" x14ac:dyDescent="0.3">
      <c r="B60" s="5"/>
      <c r="C60" s="5"/>
      <c r="D60" s="5"/>
      <c r="E60" s="5"/>
      <c r="F60" s="5"/>
    </row>
    <row r="61" spans="2:6" ht="3.95" customHeight="1" x14ac:dyDescent="0.3">
      <c r="B61" s="1"/>
      <c r="C61" s="2"/>
      <c r="D61" s="2"/>
      <c r="E61" s="2"/>
      <c r="F61" s="3"/>
    </row>
    <row r="62" spans="2:6" ht="19.5" x14ac:dyDescent="0.45">
      <c r="B62" s="4"/>
      <c r="C62" s="16" t="s">
        <v>13</v>
      </c>
      <c r="D62" s="5"/>
      <c r="E62" s="15" t="s">
        <v>14</v>
      </c>
      <c r="F62" s="6"/>
    </row>
    <row r="63" spans="2:6" ht="3.95" customHeight="1" x14ac:dyDescent="0.3">
      <c r="B63" s="4"/>
      <c r="C63" s="5"/>
      <c r="D63" s="5"/>
      <c r="E63" s="5"/>
      <c r="F63" s="6"/>
    </row>
    <row r="64" spans="2:6" ht="18.75" x14ac:dyDescent="0.4">
      <c r="B64" s="4"/>
      <c r="C64" s="17">
        <v>17</v>
      </c>
      <c r="D64" s="5"/>
      <c r="E64" s="18">
        <v>4065.2975999999999</v>
      </c>
      <c r="F64" s="6"/>
    </row>
    <row r="65" spans="2:6" ht="3.95" customHeight="1" x14ac:dyDescent="0.3">
      <c r="B65" s="7"/>
      <c r="C65" s="8"/>
      <c r="D65" s="8"/>
      <c r="E65" s="8"/>
      <c r="F65" s="9"/>
    </row>
    <row r="66" spans="2:6" ht="3.95" customHeight="1" x14ac:dyDescent="0.3"/>
    <row r="67" spans="2:6" ht="3.95" customHeight="1" x14ac:dyDescent="0.3">
      <c r="B67" s="1"/>
      <c r="C67" s="2"/>
      <c r="D67" s="2"/>
      <c r="E67" s="2"/>
      <c r="F67" s="3"/>
    </row>
    <row r="68" spans="2:6" ht="19.5" x14ac:dyDescent="0.45">
      <c r="B68" s="4"/>
      <c r="C68" s="16" t="s">
        <v>15</v>
      </c>
      <c r="D68" s="5"/>
      <c r="E68" s="15" t="s">
        <v>16</v>
      </c>
      <c r="F68" s="6"/>
    </row>
    <row r="69" spans="2:6" ht="3.95" customHeight="1" x14ac:dyDescent="0.3">
      <c r="B69" s="4"/>
      <c r="C69" s="5"/>
      <c r="D69" s="5"/>
      <c r="E69" s="5"/>
      <c r="F69" s="6"/>
    </row>
    <row r="70" spans="2:6" ht="18.75" x14ac:dyDescent="0.4">
      <c r="B70" s="4"/>
      <c r="C70" s="17">
        <v>17</v>
      </c>
      <c r="D70" s="5"/>
      <c r="E70" s="18">
        <v>2565.6963000000001</v>
      </c>
      <c r="F70" s="6"/>
    </row>
    <row r="71" spans="2:6" ht="3.95" customHeight="1" x14ac:dyDescent="0.3">
      <c r="B71" s="7"/>
      <c r="C71" s="8"/>
      <c r="D71" s="8"/>
      <c r="E71" s="8"/>
      <c r="F71" s="9"/>
    </row>
    <row r="72" spans="2:6" ht="3.95" customHeight="1" x14ac:dyDescent="0.3"/>
    <row r="73" spans="2:6" ht="3.95" customHeight="1" x14ac:dyDescent="0.3">
      <c r="B73" s="1"/>
      <c r="C73" s="2"/>
      <c r="D73" s="2"/>
      <c r="E73" s="2"/>
      <c r="F73" s="3"/>
    </row>
    <row r="74" spans="2:6" ht="19.5" x14ac:dyDescent="0.45">
      <c r="B74" s="4"/>
      <c r="C74" s="16" t="s">
        <v>20</v>
      </c>
      <c r="D74" s="5"/>
      <c r="E74" s="15" t="s">
        <v>21</v>
      </c>
      <c r="F74" s="6"/>
    </row>
    <row r="75" spans="2:6" ht="3.95" customHeight="1" x14ac:dyDescent="0.3">
      <c r="B75" s="4"/>
      <c r="C75" s="5"/>
      <c r="D75" s="5"/>
      <c r="E75" s="5"/>
      <c r="F75" s="6"/>
    </row>
    <row r="76" spans="2:6" ht="18.75" x14ac:dyDescent="0.4">
      <c r="B76" s="4"/>
      <c r="C76" s="17">
        <v>18</v>
      </c>
      <c r="D76" s="5"/>
      <c r="E76" s="18">
        <v>3589.0549999999998</v>
      </c>
      <c r="F76" s="6"/>
    </row>
    <row r="77" spans="2:6" ht="3.95" customHeight="1" x14ac:dyDescent="0.3">
      <c r="B77" s="7"/>
      <c r="C77" s="8"/>
      <c r="D77" s="8"/>
      <c r="E77" s="8"/>
      <c r="F77" s="9"/>
    </row>
    <row r="78" spans="2:6" ht="3.95" customHeight="1" x14ac:dyDescent="0.3"/>
    <row r="79" spans="2:6" ht="3.95" customHeight="1" x14ac:dyDescent="0.3">
      <c r="B79" s="1"/>
      <c r="C79" s="2"/>
      <c r="D79" s="2"/>
      <c r="E79" s="2"/>
      <c r="F79" s="3"/>
    </row>
    <row r="80" spans="2:6" ht="19.5" x14ac:dyDescent="0.45">
      <c r="B80" s="4"/>
      <c r="C80" s="16" t="s">
        <v>2</v>
      </c>
      <c r="D80" s="5"/>
      <c r="E80" s="15" t="s">
        <v>3</v>
      </c>
      <c r="F80" s="6"/>
    </row>
    <row r="81" spans="2:6" ht="3.95" customHeight="1" x14ac:dyDescent="0.3">
      <c r="B81" s="4"/>
      <c r="C81" s="5"/>
      <c r="D81" s="5"/>
      <c r="E81" s="5"/>
      <c r="F81" s="6"/>
    </row>
    <row r="82" spans="2:6" ht="18.75" x14ac:dyDescent="0.4">
      <c r="B82" s="4"/>
      <c r="C82" s="17">
        <v>18</v>
      </c>
      <c r="D82" s="5"/>
      <c r="E82" s="18">
        <v>7327.4170999999997</v>
      </c>
      <c r="F82" s="6"/>
    </row>
    <row r="83" spans="2:6" ht="3.95" customHeight="1" x14ac:dyDescent="0.3">
      <c r="B83" s="7"/>
      <c r="C83" s="8"/>
      <c r="D83" s="8"/>
      <c r="E83" s="8"/>
      <c r="F83" s="9"/>
    </row>
    <row r="84" spans="2:6" ht="3.95" customHeight="1" x14ac:dyDescent="0.3"/>
    <row r="85" spans="2:6" ht="3.95" customHeight="1" x14ac:dyDescent="0.3">
      <c r="B85" s="1"/>
      <c r="C85" s="2"/>
      <c r="D85" s="2"/>
      <c r="E85" s="2"/>
      <c r="F85" s="3"/>
    </row>
    <row r="86" spans="2:6" ht="19.5" x14ac:dyDescent="0.45">
      <c r="B86" s="4"/>
      <c r="C86" s="16" t="s">
        <v>34</v>
      </c>
      <c r="D86" s="5"/>
      <c r="E86" s="15" t="s">
        <v>35</v>
      </c>
      <c r="F86" s="6"/>
    </row>
    <row r="87" spans="2:6" ht="3.95" customHeight="1" x14ac:dyDescent="0.3">
      <c r="B87" s="4"/>
      <c r="C87" s="5"/>
      <c r="D87" s="5"/>
      <c r="E87" s="5"/>
      <c r="F87" s="6"/>
    </row>
    <row r="88" spans="2:6" ht="18.75" x14ac:dyDescent="0.4">
      <c r="B88" s="4"/>
      <c r="C88" s="17">
        <v>18</v>
      </c>
      <c r="D88" s="5"/>
      <c r="E88" s="18">
        <v>8949.3467999999993</v>
      </c>
      <c r="F88" s="6"/>
    </row>
    <row r="89" spans="2:6" ht="3.95" customHeight="1" x14ac:dyDescent="0.3">
      <c r="B89" s="7"/>
      <c r="C89" s="8"/>
      <c r="D89" s="8"/>
      <c r="E89" s="8"/>
      <c r="F89" s="9"/>
    </row>
    <row r="90" spans="2:6" ht="3.95" customHeight="1" x14ac:dyDescent="0.3"/>
    <row r="91" spans="2:6" ht="3.95" customHeight="1" x14ac:dyDescent="0.3">
      <c r="B91" s="1"/>
      <c r="C91" s="2"/>
      <c r="D91" s="2"/>
      <c r="E91" s="2"/>
      <c r="F91" s="3"/>
    </row>
    <row r="92" spans="2:6" ht="19.5" x14ac:dyDescent="0.45">
      <c r="B92" s="4"/>
      <c r="C92" s="16" t="s">
        <v>27</v>
      </c>
      <c r="D92" s="5"/>
      <c r="E92" s="15" t="s">
        <v>28</v>
      </c>
      <c r="F92" s="6"/>
    </row>
    <row r="93" spans="2:6" ht="3.95" customHeight="1" x14ac:dyDescent="0.3">
      <c r="B93" s="4"/>
      <c r="C93" s="5"/>
      <c r="D93" s="5"/>
      <c r="E93" s="5"/>
      <c r="F93" s="6"/>
    </row>
    <row r="94" spans="2:6" ht="18.75" x14ac:dyDescent="0.4">
      <c r="B94" s="4"/>
      <c r="C94" s="17">
        <v>18</v>
      </c>
      <c r="D94" s="5"/>
      <c r="E94" s="18">
        <v>3884.8040000000001</v>
      </c>
      <c r="F94" s="6"/>
    </row>
    <row r="95" spans="2:6" ht="3.95" customHeight="1" x14ac:dyDescent="0.3">
      <c r="B95" s="7"/>
      <c r="C95" s="8"/>
      <c r="D95" s="8"/>
      <c r="E95" s="8"/>
      <c r="F95" s="9"/>
    </row>
    <row r="96" spans="2:6" ht="3.95" customHeight="1" x14ac:dyDescent="0.3"/>
    <row r="97" spans="2:6" ht="3.95" customHeight="1" x14ac:dyDescent="0.3">
      <c r="B97" s="1"/>
      <c r="C97" s="2"/>
      <c r="D97" s="2"/>
      <c r="E97" s="2"/>
      <c r="F97" s="3"/>
    </row>
    <row r="98" spans="2:6" ht="19.5" x14ac:dyDescent="0.45">
      <c r="B98" s="4"/>
      <c r="C98" s="16" t="s">
        <v>17</v>
      </c>
      <c r="D98" s="5"/>
      <c r="E98" s="15" t="s">
        <v>18</v>
      </c>
      <c r="F98" s="6"/>
    </row>
    <row r="99" spans="2:6" ht="3.95" customHeight="1" x14ac:dyDescent="0.3">
      <c r="B99" s="4"/>
      <c r="C99" s="5"/>
      <c r="D99" s="5"/>
      <c r="E99" s="5"/>
      <c r="F99" s="6"/>
    </row>
    <row r="100" spans="2:6" ht="18.75" x14ac:dyDescent="0.4">
      <c r="B100" s="4"/>
      <c r="C100" s="17">
        <v>19</v>
      </c>
      <c r="D100" s="5"/>
      <c r="E100" s="18">
        <v>7722.2408999999998</v>
      </c>
      <c r="F100" s="6"/>
    </row>
    <row r="101" spans="2:6" ht="3.95" customHeight="1" x14ac:dyDescent="0.3">
      <c r="B101" s="7"/>
      <c r="C101" s="8"/>
      <c r="D101" s="8"/>
      <c r="E101" s="8"/>
      <c r="F101" s="9"/>
    </row>
    <row r="102" spans="2:6" ht="3.95" customHeight="1" x14ac:dyDescent="0.3">
      <c r="B102" s="5"/>
      <c r="C102" s="5"/>
      <c r="D102" s="5"/>
      <c r="E102" s="5"/>
      <c r="F102" s="5"/>
    </row>
    <row r="103" spans="2:6" ht="3.95" customHeight="1" x14ac:dyDescent="0.3">
      <c r="B103" s="1"/>
      <c r="C103" s="2"/>
      <c r="D103" s="2"/>
      <c r="E103" s="2"/>
      <c r="F103" s="3"/>
    </row>
    <row r="104" spans="2:6" ht="19.5" x14ac:dyDescent="0.45">
      <c r="B104" s="4"/>
      <c r="C104" s="16" t="s">
        <v>29</v>
      </c>
      <c r="D104" s="5"/>
      <c r="E104" s="15" t="s">
        <v>30</v>
      </c>
      <c r="F104" s="6"/>
    </row>
    <row r="105" spans="2:6" ht="3.95" customHeight="1" x14ac:dyDescent="0.3">
      <c r="B105" s="4"/>
      <c r="C105" s="5"/>
      <c r="D105" s="5"/>
      <c r="E105" s="5"/>
      <c r="F105" s="6"/>
    </row>
    <row r="106" spans="2:6" ht="18.75" x14ac:dyDescent="0.4">
      <c r="B106" s="4"/>
      <c r="C106" s="17">
        <v>20</v>
      </c>
      <c r="D106" s="5"/>
      <c r="E106" s="18">
        <v>3565.5711000000001</v>
      </c>
      <c r="F106" s="6"/>
    </row>
    <row r="107" spans="2:6" ht="3.95" customHeight="1" x14ac:dyDescent="0.3">
      <c r="B107" s="7"/>
      <c r="C107" s="8"/>
      <c r="D107" s="8"/>
      <c r="E107" s="8"/>
      <c r="F107" s="9"/>
    </row>
    <row r="108" spans="2:6" ht="3.95" customHeight="1" x14ac:dyDescent="0.3">
      <c r="B108" s="5"/>
      <c r="C108" s="5"/>
      <c r="D108" s="5"/>
      <c r="E108" s="5"/>
      <c r="F108" s="5"/>
    </row>
    <row r="109" spans="2:6" ht="3.95" customHeight="1" x14ac:dyDescent="0.3">
      <c r="B109" s="1"/>
      <c r="C109" s="2"/>
      <c r="D109" s="2"/>
      <c r="E109" s="2"/>
      <c r="F109" s="3"/>
    </row>
    <row r="110" spans="2:6" ht="19.5" x14ac:dyDescent="0.45">
      <c r="B110" s="4"/>
      <c r="C110" s="16" t="s">
        <v>4</v>
      </c>
      <c r="D110" s="5"/>
      <c r="E110" s="15" t="s">
        <v>5</v>
      </c>
      <c r="F110" s="6"/>
    </row>
    <row r="111" spans="2:6" ht="3.95" customHeight="1" x14ac:dyDescent="0.3">
      <c r="B111" s="4"/>
      <c r="C111" s="5"/>
      <c r="D111" s="5"/>
      <c r="E111" s="5"/>
      <c r="F111" s="6"/>
    </row>
    <row r="112" spans="2:6" ht="18.75" x14ac:dyDescent="0.4">
      <c r="B112" s="4"/>
      <c r="C112" s="17">
        <v>21</v>
      </c>
      <c r="D112" s="5"/>
      <c r="E112" s="18">
        <v>8949.3467999999993</v>
      </c>
      <c r="F112" s="6"/>
    </row>
    <row r="113" spans="2:6" ht="3.95" customHeight="1" x14ac:dyDescent="0.3">
      <c r="B113" s="7"/>
      <c r="C113" s="8"/>
      <c r="D113" s="8"/>
      <c r="E113" s="8"/>
      <c r="F113" s="9"/>
    </row>
    <row r="114" spans="2:6" ht="3.95" customHeight="1" x14ac:dyDescent="0.3"/>
    <row r="115" spans="2:6" ht="3.95" customHeight="1" x14ac:dyDescent="0.3">
      <c r="B115" s="1"/>
      <c r="C115" s="2"/>
      <c r="D115" s="2"/>
      <c r="E115" s="2"/>
      <c r="F115" s="3"/>
    </row>
    <row r="116" spans="2:6" ht="19.5" x14ac:dyDescent="0.45">
      <c r="B116" s="4"/>
      <c r="C116" s="16" t="s">
        <v>0</v>
      </c>
      <c r="D116" s="5"/>
      <c r="E116" s="15" t="s">
        <v>1</v>
      </c>
      <c r="F116" s="6"/>
    </row>
    <row r="117" spans="2:6" ht="3.95" customHeight="1" x14ac:dyDescent="0.3">
      <c r="B117" s="4"/>
      <c r="C117" s="5"/>
      <c r="D117" s="5"/>
      <c r="E117" s="5"/>
      <c r="F117" s="6"/>
    </row>
    <row r="118" spans="2:6" ht="18.75" x14ac:dyDescent="0.4">
      <c r="B118" s="4"/>
      <c r="C118" s="17">
        <v>21</v>
      </c>
      <c r="D118" s="5"/>
      <c r="E118" s="18">
        <v>8949.3467999999993</v>
      </c>
      <c r="F118" s="6"/>
    </row>
    <row r="119" spans="2:6" ht="3.95" customHeight="1" x14ac:dyDescent="0.3">
      <c r="B119" s="7"/>
      <c r="C119" s="8"/>
      <c r="D119" s="8"/>
      <c r="E119" s="8"/>
      <c r="F119" s="9"/>
    </row>
    <row r="120" spans="2:6" ht="3.95" customHeight="1" x14ac:dyDescent="0.3">
      <c r="B120" s="5"/>
      <c r="C120" s="5"/>
      <c r="D120" s="5"/>
      <c r="E120" s="5"/>
      <c r="F120" s="5"/>
    </row>
    <row r="121" spans="2:6" ht="3.95" customHeight="1" x14ac:dyDescent="0.3"/>
    <row r="122" spans="2:6" ht="3.95" customHeight="1" x14ac:dyDescent="0.3">
      <c r="B122" s="1"/>
      <c r="C122" s="2"/>
      <c r="D122" s="2"/>
      <c r="E122" s="2"/>
      <c r="F122" s="3"/>
    </row>
    <row r="123" spans="2:6" ht="19.5" x14ac:dyDescent="0.45">
      <c r="B123" s="4"/>
      <c r="C123" s="16" t="s">
        <v>0</v>
      </c>
      <c r="D123" s="5"/>
      <c r="E123" s="15" t="s">
        <v>1</v>
      </c>
      <c r="F123" s="6"/>
    </row>
    <row r="124" spans="2:6" ht="3.95" customHeight="1" x14ac:dyDescent="0.3">
      <c r="B124" s="4"/>
      <c r="C124" s="5"/>
      <c r="D124" s="5"/>
      <c r="E124" s="5"/>
      <c r="F124" s="6"/>
    </row>
    <row r="125" spans="2:6" ht="18.75" x14ac:dyDescent="0.4">
      <c r="B125" s="4"/>
      <c r="C125" s="17">
        <v>21</v>
      </c>
      <c r="D125" s="5"/>
      <c r="E125" s="18">
        <v>8949.3467999999993</v>
      </c>
      <c r="F125" s="6"/>
    </row>
    <row r="126" spans="2:6" ht="3.95" customHeight="1" x14ac:dyDescent="0.3">
      <c r="B126" s="7"/>
      <c r="C126" s="8"/>
      <c r="D126" s="8"/>
      <c r="E126" s="8"/>
      <c r="F126" s="9"/>
    </row>
    <row r="127" spans="2:6" ht="3.95" customHeight="1" x14ac:dyDescent="0.3">
      <c r="B127" s="5"/>
      <c r="C127" s="5"/>
      <c r="D127" s="5"/>
      <c r="E127" s="5"/>
      <c r="F127" s="5"/>
    </row>
    <row r="128" spans="2:6" ht="3.95" customHeight="1" x14ac:dyDescent="0.3">
      <c r="B128" s="1"/>
      <c r="C128" s="2"/>
      <c r="D128" s="2"/>
      <c r="E128" s="2"/>
      <c r="F128" s="3"/>
    </row>
    <row r="129" spans="2:6" ht="19.5" x14ac:dyDescent="0.45">
      <c r="B129" s="4"/>
      <c r="C129" s="16" t="s">
        <v>6</v>
      </c>
      <c r="D129" s="5"/>
      <c r="E129" s="15" t="s">
        <v>7</v>
      </c>
      <c r="F129" s="6"/>
    </row>
    <row r="130" spans="2:6" ht="3.95" customHeight="1" x14ac:dyDescent="0.3">
      <c r="B130" s="4"/>
      <c r="C130" s="5"/>
      <c r="D130" s="5"/>
      <c r="E130" s="5"/>
      <c r="F130" s="6"/>
    </row>
    <row r="131" spans="2:6" ht="18.75" x14ac:dyDescent="0.4">
      <c r="B131" s="4"/>
      <c r="C131" s="17">
        <v>22</v>
      </c>
      <c r="D131" s="5"/>
      <c r="E131" s="18">
        <v>7501.0505000000003</v>
      </c>
      <c r="F131" s="6"/>
    </row>
    <row r="132" spans="2:6" ht="3.95" customHeight="1" x14ac:dyDescent="0.3">
      <c r="B132" s="7"/>
      <c r="C132" s="8"/>
      <c r="D132" s="8"/>
      <c r="E132" s="8"/>
      <c r="F132" s="9"/>
    </row>
    <row r="133" spans="2:6" ht="3.95" customHeight="1" x14ac:dyDescent="0.3"/>
    <row r="134" spans="2:6" ht="3.95" customHeight="1" x14ac:dyDescent="0.3">
      <c r="B134" s="1"/>
      <c r="C134" s="2"/>
      <c r="D134" s="2"/>
      <c r="E134" s="2"/>
      <c r="F134" s="3"/>
    </row>
    <row r="135" spans="2:6" ht="19.5" x14ac:dyDescent="0.45">
      <c r="B135" s="4"/>
      <c r="C135" s="16" t="s">
        <v>6</v>
      </c>
      <c r="D135" s="5"/>
      <c r="E135" s="15" t="s">
        <v>7</v>
      </c>
      <c r="F135" s="6"/>
    </row>
    <row r="136" spans="2:6" ht="3.95" customHeight="1" x14ac:dyDescent="0.3">
      <c r="B136" s="4"/>
      <c r="C136" s="5"/>
      <c r="D136" s="5"/>
      <c r="E136" s="5"/>
      <c r="F136" s="6"/>
    </row>
    <row r="137" spans="2:6" ht="18.75" x14ac:dyDescent="0.4">
      <c r="B137" s="4"/>
      <c r="C137" s="17">
        <v>22</v>
      </c>
      <c r="D137" s="5"/>
      <c r="E137" s="18">
        <v>7501.0505000000003</v>
      </c>
      <c r="F137" s="6"/>
    </row>
    <row r="138" spans="2:6" ht="3.95" customHeight="1" x14ac:dyDescent="0.3">
      <c r="B138" s="7"/>
      <c r="C138" s="8"/>
      <c r="D138" s="8"/>
      <c r="E138" s="8"/>
      <c r="F138" s="9"/>
    </row>
    <row r="139" spans="2:6" ht="3.95" customHeight="1" x14ac:dyDescent="0.3"/>
    <row r="140" spans="2:6" ht="3.95" customHeight="1" x14ac:dyDescent="0.3">
      <c r="B140" s="1"/>
      <c r="C140" s="2"/>
      <c r="D140" s="2"/>
      <c r="E140" s="2"/>
      <c r="F140" s="3"/>
    </row>
    <row r="141" spans="2:6" ht="19.5" x14ac:dyDescent="0.45">
      <c r="B141" s="4"/>
      <c r="C141" s="16" t="s">
        <v>8</v>
      </c>
      <c r="D141" s="5"/>
      <c r="E141" s="15" t="s">
        <v>9</v>
      </c>
      <c r="F141" s="6"/>
    </row>
    <row r="142" spans="2:6" ht="3.95" customHeight="1" x14ac:dyDescent="0.3">
      <c r="B142" s="4"/>
      <c r="C142" s="5"/>
      <c r="D142" s="5"/>
      <c r="E142" s="5"/>
      <c r="F142" s="6"/>
    </row>
    <row r="143" spans="2:6" ht="18.75" x14ac:dyDescent="0.4">
      <c r="B143" s="4"/>
      <c r="C143" s="17">
        <v>23</v>
      </c>
      <c r="D143" s="5"/>
      <c r="E143" s="18">
        <v>3844.3811000000001</v>
      </c>
      <c r="F143" s="6"/>
    </row>
    <row r="144" spans="2:6" ht="3.95" customHeight="1" x14ac:dyDescent="0.3">
      <c r="B144" s="7"/>
      <c r="C144" s="8"/>
      <c r="D144" s="8"/>
      <c r="E144" s="8"/>
      <c r="F144" s="9"/>
    </row>
    <row r="145" spans="2:6" ht="3.95" customHeight="1" x14ac:dyDescent="0.3"/>
    <row r="146" spans="2:6" ht="3.95" customHeight="1" x14ac:dyDescent="0.3">
      <c r="B146" s="1"/>
      <c r="C146" s="2"/>
      <c r="D146" s="2"/>
      <c r="E146" s="2"/>
      <c r="F146" s="3"/>
    </row>
    <row r="147" spans="2:6" ht="19.5" x14ac:dyDescent="0.45">
      <c r="B147" s="4"/>
      <c r="C147" s="16" t="s">
        <v>10</v>
      </c>
      <c r="D147" s="5"/>
      <c r="E147" s="15" t="s">
        <v>11</v>
      </c>
      <c r="F147" s="6"/>
    </row>
    <row r="148" spans="2:6" ht="3.95" customHeight="1" x14ac:dyDescent="0.3">
      <c r="B148" s="4"/>
      <c r="C148" s="5"/>
      <c r="D148" s="5"/>
      <c r="E148" s="5"/>
      <c r="F148" s="6"/>
    </row>
    <row r="149" spans="2:6" ht="18.75" x14ac:dyDescent="0.4">
      <c r="B149" s="4"/>
      <c r="C149" s="17">
        <v>23</v>
      </c>
      <c r="D149" s="5"/>
      <c r="E149" s="18">
        <v>9320.3811000000005</v>
      </c>
      <c r="F149" s="6"/>
    </row>
    <row r="150" spans="2:6" ht="3.95" customHeight="1" x14ac:dyDescent="0.3">
      <c r="B150" s="7"/>
      <c r="C150" s="8"/>
      <c r="D150" s="8"/>
      <c r="E150" s="8"/>
      <c r="F150" s="9"/>
    </row>
    <row r="151" spans="2:6" ht="3.95" customHeight="1" x14ac:dyDescent="0.3"/>
    <row r="152" spans="2:6" ht="3.95" customHeight="1" x14ac:dyDescent="0.3">
      <c r="B152" s="1"/>
      <c r="C152" s="2"/>
      <c r="D152" s="2"/>
      <c r="E152" s="2"/>
      <c r="F152" s="3"/>
    </row>
    <row r="153" spans="2:6" ht="19.5" x14ac:dyDescent="0.45">
      <c r="B153" s="4"/>
      <c r="C153" s="16" t="s">
        <v>22</v>
      </c>
      <c r="D153" s="5"/>
      <c r="E153" s="15" t="s">
        <v>23</v>
      </c>
      <c r="F153" s="6"/>
    </row>
    <row r="154" spans="2:6" ht="3.95" customHeight="1" x14ac:dyDescent="0.3">
      <c r="B154" s="4"/>
      <c r="C154" s="5"/>
      <c r="D154" s="5"/>
      <c r="E154" s="5"/>
      <c r="F154" s="6"/>
    </row>
    <row r="155" spans="2:6" ht="18.75" x14ac:dyDescent="0.4">
      <c r="B155" s="4"/>
      <c r="C155" s="17">
        <v>24</v>
      </c>
      <c r="D155" s="5"/>
      <c r="E155" s="18">
        <v>5267.3621999999996</v>
      </c>
      <c r="F155" s="6"/>
    </row>
    <row r="156" spans="2:6" ht="3.95" customHeight="1" x14ac:dyDescent="0.3">
      <c r="B156" s="7"/>
      <c r="C156" s="8"/>
      <c r="D156" s="8"/>
      <c r="E156" s="8"/>
      <c r="F156" s="9"/>
    </row>
    <row r="157" spans="2:6" ht="3.95" customHeight="1" x14ac:dyDescent="0.3"/>
    <row r="158" spans="2:6" ht="3.95" customHeight="1" x14ac:dyDescent="0.3">
      <c r="B158" s="1"/>
      <c r="C158" s="2"/>
      <c r="D158" s="2"/>
      <c r="E158" s="2"/>
      <c r="F158" s="3"/>
    </row>
    <row r="159" spans="2:6" ht="19.5" x14ac:dyDescent="0.45">
      <c r="B159" s="4"/>
      <c r="C159" s="16" t="s">
        <v>24</v>
      </c>
      <c r="D159" s="5"/>
      <c r="E159" s="15" t="s">
        <v>25</v>
      </c>
      <c r="F159" s="6"/>
    </row>
    <row r="160" spans="2:6" ht="3.95" customHeight="1" x14ac:dyDescent="0.3">
      <c r="B160" s="4"/>
      <c r="C160" s="5"/>
      <c r="D160" s="5"/>
      <c r="E160" s="5"/>
      <c r="F160" s="6"/>
    </row>
    <row r="161" spans="2:6" ht="18.75" x14ac:dyDescent="0.4">
      <c r="B161" s="4"/>
      <c r="C161" s="17">
        <v>25</v>
      </c>
      <c r="D161" s="5"/>
      <c r="E161" s="18">
        <v>3839.5608999999999</v>
      </c>
      <c r="F161" s="6"/>
    </row>
    <row r="162" spans="2:6" ht="3.95" customHeight="1" x14ac:dyDescent="0.3">
      <c r="B162" s="7"/>
      <c r="C162" s="8"/>
      <c r="D162" s="8"/>
      <c r="E162" s="8"/>
      <c r="F162" s="9"/>
    </row>
    <row r="163" spans="2:6" ht="3.95" customHeight="1" x14ac:dyDescent="0.3">
      <c r="B163" s="5"/>
      <c r="C163" s="5"/>
      <c r="D163" s="5"/>
      <c r="E163" s="5"/>
      <c r="F163" s="5"/>
    </row>
    <row r="166" spans="2:6" x14ac:dyDescent="0.3">
      <c r="C166" t="s">
        <v>40</v>
      </c>
    </row>
    <row r="167" spans="2:6" x14ac:dyDescent="0.3">
      <c r="C167" t="s">
        <v>41</v>
      </c>
    </row>
  </sheetData>
  <mergeCells count="8">
    <mergeCell ref="C28:E29"/>
    <mergeCell ref="C33:E34"/>
    <mergeCell ref="C38:E39"/>
    <mergeCell ref="C13:E14"/>
    <mergeCell ref="C3:E4"/>
    <mergeCell ref="C8:E9"/>
    <mergeCell ref="C18:E19"/>
    <mergeCell ref="C23:E24"/>
  </mergeCells>
  <phoneticPr fontId="1" type="noConversion"/>
  <printOptions horizontalCentered="1" verticalCentered="1"/>
  <pageMargins left="0" right="0" top="0" bottom="0" header="0" footer="0"/>
  <pageSetup paperSize="9" scale="92" orientation="landscape" r:id="rId1"/>
  <rowBreaks count="1" manualBreakCount="1">
    <brk id="164" max="3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E0259-8F09-4183-9537-9A7D3DCA8641}">
  <sheetPr>
    <pageSetUpPr fitToPage="1"/>
  </sheetPr>
  <dimension ref="A1:I28"/>
  <sheetViews>
    <sheetView view="pageBreakPreview" zoomScaleNormal="100" zoomScaleSheetLayoutView="100" workbookViewId="0">
      <pane ySplit="2" topLeftCell="A3" activePane="bottomLeft" state="frozen"/>
      <selection activeCell="M7" sqref="M7"/>
      <selection pane="bottomLeft" activeCell="C5" sqref="C5"/>
    </sheetView>
  </sheetViews>
  <sheetFormatPr defaultRowHeight="16.5" x14ac:dyDescent="0.3"/>
  <cols>
    <col min="2" max="2" width="3.75" customWidth="1"/>
    <col min="3" max="4" width="6.75" bestFit="1" customWidth="1"/>
    <col min="5" max="5" width="10.75" customWidth="1"/>
    <col min="7" max="7" width="11" bestFit="1" customWidth="1"/>
    <col min="8" max="8" width="37.75" customWidth="1"/>
  </cols>
  <sheetData>
    <row r="1" spans="1:9" ht="36" customHeight="1" thickTop="1" x14ac:dyDescent="0.3">
      <c r="B1" s="28"/>
      <c r="C1" s="28"/>
      <c r="D1" s="29" t="s">
        <v>130</v>
      </c>
      <c r="E1" s="30"/>
      <c r="F1" s="31"/>
      <c r="G1" s="29"/>
      <c r="H1" s="32"/>
      <c r="I1" s="29"/>
    </row>
    <row r="2" spans="1:9" ht="36" customHeight="1" thickBot="1" x14ac:dyDescent="0.35">
      <c r="A2" t="s">
        <v>200</v>
      </c>
      <c r="B2" s="33" t="s">
        <v>50</v>
      </c>
      <c r="C2" s="33" t="s">
        <v>51</v>
      </c>
      <c r="D2" s="33" t="s">
        <v>52</v>
      </c>
      <c r="E2" s="33" t="s">
        <v>53</v>
      </c>
      <c r="F2" s="34" t="s">
        <v>54</v>
      </c>
      <c r="G2" s="33" t="s">
        <v>55</v>
      </c>
      <c r="H2" s="33" t="s">
        <v>56</v>
      </c>
      <c r="I2" s="33" t="s">
        <v>57</v>
      </c>
    </row>
    <row r="3" spans="1:9" ht="49.9" customHeight="1" thickTop="1" x14ac:dyDescent="0.3">
      <c r="B3" s="8">
        <v>1</v>
      </c>
      <c r="C3" s="8" t="s">
        <v>48</v>
      </c>
      <c r="D3" s="8" t="s">
        <v>48</v>
      </c>
      <c r="E3" s="20" t="s">
        <v>58</v>
      </c>
      <c r="F3" s="21" t="s">
        <v>59</v>
      </c>
      <c r="G3" s="35">
        <v>550000</v>
      </c>
      <c r="H3" s="22" t="s">
        <v>60</v>
      </c>
      <c r="I3" s="8">
        <v>48422</v>
      </c>
    </row>
    <row r="4" spans="1:9" ht="49.9" customHeight="1" x14ac:dyDescent="0.3">
      <c r="B4" s="23">
        <f>B3+1</f>
        <v>2</v>
      </c>
      <c r="C4" s="23" t="s">
        <v>37</v>
      </c>
      <c r="D4" s="23" t="s">
        <v>61</v>
      </c>
      <c r="E4" s="24" t="s">
        <v>62</v>
      </c>
      <c r="F4" s="25" t="s">
        <v>63</v>
      </c>
      <c r="G4" s="35">
        <v>810000</v>
      </c>
      <c r="H4" s="26" t="s">
        <v>64</v>
      </c>
      <c r="I4" s="23">
        <v>13595</v>
      </c>
    </row>
    <row r="5" spans="1:9" ht="49.9" customHeight="1" x14ac:dyDescent="0.3">
      <c r="B5" s="23">
        <f t="shared" ref="B5:B25" si="0">B4+1</f>
        <v>3</v>
      </c>
      <c r="C5" s="23" t="s">
        <v>35</v>
      </c>
      <c r="D5" s="23" t="s">
        <v>35</v>
      </c>
      <c r="E5" s="24" t="s">
        <v>68</v>
      </c>
      <c r="F5" s="25" t="s">
        <v>69</v>
      </c>
      <c r="G5" s="35">
        <v>820000</v>
      </c>
      <c r="H5" s="26" t="s">
        <v>70</v>
      </c>
      <c r="I5" s="23">
        <v>47848</v>
      </c>
    </row>
    <row r="6" spans="1:9" ht="49.9" customHeight="1" x14ac:dyDescent="0.3">
      <c r="B6" s="23">
        <f t="shared" si="0"/>
        <v>4</v>
      </c>
      <c r="C6" s="23" t="s">
        <v>35</v>
      </c>
      <c r="D6" s="23" t="s">
        <v>119</v>
      </c>
      <c r="E6" s="24" t="s">
        <v>86</v>
      </c>
      <c r="F6" s="25" t="s">
        <v>87</v>
      </c>
      <c r="G6" s="35">
        <v>700000</v>
      </c>
      <c r="H6" s="26" t="s">
        <v>120</v>
      </c>
      <c r="I6" s="23"/>
    </row>
    <row r="7" spans="1:9" ht="49.9" customHeight="1" x14ac:dyDescent="0.3">
      <c r="B7" s="23">
        <f t="shared" si="0"/>
        <v>5</v>
      </c>
      <c r="C7" s="23" t="s">
        <v>35</v>
      </c>
      <c r="D7" s="23" t="s">
        <v>118</v>
      </c>
      <c r="E7" s="24" t="s">
        <v>65</v>
      </c>
      <c r="F7" s="25" t="s">
        <v>66</v>
      </c>
      <c r="G7" s="35">
        <v>550000</v>
      </c>
      <c r="H7" s="26" t="s">
        <v>67</v>
      </c>
      <c r="I7" s="23">
        <v>47848</v>
      </c>
    </row>
    <row r="8" spans="1:9" ht="49.9" customHeight="1" x14ac:dyDescent="0.3">
      <c r="B8" s="23">
        <f t="shared" si="0"/>
        <v>6</v>
      </c>
      <c r="C8" s="23" t="s">
        <v>30</v>
      </c>
      <c r="D8" s="23" t="s">
        <v>30</v>
      </c>
      <c r="E8" s="24" t="s">
        <v>71</v>
      </c>
      <c r="F8" s="25" t="s">
        <v>72</v>
      </c>
      <c r="G8" s="35">
        <v>800000</v>
      </c>
      <c r="H8" s="26" t="s">
        <v>73</v>
      </c>
      <c r="I8" s="23">
        <v>49078</v>
      </c>
    </row>
    <row r="9" spans="1:9" ht="49.9" customHeight="1" x14ac:dyDescent="0.3">
      <c r="B9" s="23">
        <f t="shared" si="0"/>
        <v>7</v>
      </c>
      <c r="C9" s="23" t="s">
        <v>30</v>
      </c>
      <c r="D9" s="23" t="s">
        <v>201</v>
      </c>
      <c r="E9" s="24" t="s">
        <v>115</v>
      </c>
      <c r="F9" s="25" t="s">
        <v>116</v>
      </c>
      <c r="G9" s="35">
        <v>300000</v>
      </c>
      <c r="H9" s="26" t="s">
        <v>117</v>
      </c>
      <c r="I9" s="23"/>
    </row>
    <row r="10" spans="1:9" ht="49.9" customHeight="1" x14ac:dyDescent="0.3">
      <c r="B10" s="23">
        <f t="shared" si="0"/>
        <v>8</v>
      </c>
      <c r="C10" s="23" t="s">
        <v>14</v>
      </c>
      <c r="D10" s="23" t="s">
        <v>14</v>
      </c>
      <c r="E10" s="24" t="s">
        <v>74</v>
      </c>
      <c r="F10" s="25" t="s">
        <v>75</v>
      </c>
      <c r="G10" s="35">
        <v>810000</v>
      </c>
      <c r="H10" s="26" t="s">
        <v>76</v>
      </c>
      <c r="I10" s="23">
        <v>47206</v>
      </c>
    </row>
    <row r="11" spans="1:9" ht="49.9" customHeight="1" x14ac:dyDescent="0.3">
      <c r="B11" s="23">
        <f t="shared" si="0"/>
        <v>9</v>
      </c>
      <c r="C11" s="26" t="s">
        <v>235</v>
      </c>
      <c r="D11" s="23" t="s">
        <v>105</v>
      </c>
      <c r="E11" s="24" t="s">
        <v>106</v>
      </c>
      <c r="F11" s="25" t="s">
        <v>107</v>
      </c>
      <c r="G11" s="35">
        <v>1100000</v>
      </c>
      <c r="H11" s="26" t="s">
        <v>108</v>
      </c>
      <c r="I11" s="23">
        <v>15871</v>
      </c>
    </row>
    <row r="12" spans="1:9" ht="49.9" customHeight="1" x14ac:dyDescent="0.3">
      <c r="B12" s="23">
        <f t="shared" si="0"/>
        <v>10</v>
      </c>
      <c r="C12" s="23" t="s">
        <v>23</v>
      </c>
      <c r="D12" s="23" t="s">
        <v>93</v>
      </c>
      <c r="E12" s="24" t="s">
        <v>94</v>
      </c>
      <c r="F12" s="25" t="s">
        <v>95</v>
      </c>
      <c r="G12" s="35">
        <v>550000</v>
      </c>
      <c r="H12" s="26" t="s">
        <v>96</v>
      </c>
      <c r="I12" s="27">
        <v>4974</v>
      </c>
    </row>
    <row r="13" spans="1:9" ht="49.9" customHeight="1" x14ac:dyDescent="0.3">
      <c r="B13" s="23">
        <f t="shared" si="0"/>
        <v>11</v>
      </c>
      <c r="C13" s="23" t="s">
        <v>77</v>
      </c>
      <c r="D13" s="23" t="s">
        <v>78</v>
      </c>
      <c r="E13" s="24" t="s">
        <v>79</v>
      </c>
      <c r="F13" s="25" t="s">
        <v>80</v>
      </c>
      <c r="G13" s="35">
        <v>500000</v>
      </c>
      <c r="H13" s="26" t="s">
        <v>81</v>
      </c>
      <c r="I13" s="23">
        <v>49302</v>
      </c>
    </row>
    <row r="14" spans="1:9" ht="49.9" customHeight="1" x14ac:dyDescent="0.3">
      <c r="B14" s="23">
        <f t="shared" si="0"/>
        <v>12</v>
      </c>
      <c r="C14" s="23" t="s">
        <v>5</v>
      </c>
      <c r="D14" s="23" t="s">
        <v>101</v>
      </c>
      <c r="E14" s="24" t="s">
        <v>102</v>
      </c>
      <c r="F14" s="25" t="s">
        <v>103</v>
      </c>
      <c r="G14" s="35">
        <v>700000</v>
      </c>
      <c r="H14" s="26" t="s">
        <v>104</v>
      </c>
      <c r="I14" s="23">
        <v>46726</v>
      </c>
    </row>
    <row r="15" spans="1:9" ht="49.9" customHeight="1" x14ac:dyDescent="0.3">
      <c r="B15" s="23">
        <f t="shared" si="0"/>
        <v>13</v>
      </c>
      <c r="C15" s="23" t="s">
        <v>3</v>
      </c>
      <c r="D15" s="23" t="s">
        <v>82</v>
      </c>
      <c r="E15" s="24" t="s">
        <v>83</v>
      </c>
      <c r="F15" s="25" t="s">
        <v>84</v>
      </c>
      <c r="G15" s="35">
        <v>820000</v>
      </c>
      <c r="H15" s="26" t="s">
        <v>85</v>
      </c>
      <c r="I15" s="23">
        <v>49302</v>
      </c>
    </row>
    <row r="16" spans="1:9" ht="49.9" customHeight="1" x14ac:dyDescent="0.3">
      <c r="B16" s="23">
        <f t="shared" si="0"/>
        <v>14</v>
      </c>
      <c r="C16" s="23" t="s">
        <v>109</v>
      </c>
      <c r="D16" s="23" t="s">
        <v>109</v>
      </c>
      <c r="E16" s="24" t="s">
        <v>110</v>
      </c>
      <c r="F16" s="25" t="s">
        <v>111</v>
      </c>
      <c r="G16" s="35">
        <v>700000</v>
      </c>
      <c r="H16" s="26" t="s">
        <v>112</v>
      </c>
      <c r="I16" s="23">
        <v>46296</v>
      </c>
    </row>
    <row r="17" spans="2:9" ht="49.9" customHeight="1" x14ac:dyDescent="0.3">
      <c r="B17" s="23">
        <f t="shared" si="0"/>
        <v>15</v>
      </c>
      <c r="C17" s="23" t="s">
        <v>39</v>
      </c>
      <c r="D17" s="23" t="s">
        <v>121</v>
      </c>
      <c r="E17" s="24" t="s">
        <v>122</v>
      </c>
      <c r="F17" s="25" t="s">
        <v>203</v>
      </c>
      <c r="G17" s="35">
        <v>500000</v>
      </c>
      <c r="H17" s="26" t="s">
        <v>123</v>
      </c>
      <c r="I17" s="23">
        <v>14038</v>
      </c>
    </row>
    <row r="18" spans="2:9" ht="49.9" customHeight="1" x14ac:dyDescent="0.3">
      <c r="B18" s="23">
        <f t="shared" si="0"/>
        <v>16</v>
      </c>
      <c r="C18" s="23" t="s">
        <v>39</v>
      </c>
      <c r="D18" s="23" t="s">
        <v>124</v>
      </c>
      <c r="E18" s="24" t="s">
        <v>125</v>
      </c>
      <c r="F18" s="25" t="s">
        <v>204</v>
      </c>
      <c r="G18" s="35">
        <v>800000</v>
      </c>
      <c r="H18" s="26" t="s">
        <v>126</v>
      </c>
      <c r="I18" s="23">
        <v>47263</v>
      </c>
    </row>
    <row r="19" spans="2:9" s="39" customFormat="1" ht="49.9" customHeight="1" x14ac:dyDescent="0.3">
      <c r="B19" s="40">
        <f t="shared" si="0"/>
        <v>17</v>
      </c>
      <c r="C19" s="40" t="s">
        <v>1</v>
      </c>
      <c r="D19" s="40" t="s">
        <v>97</v>
      </c>
      <c r="E19" s="41" t="s">
        <v>98</v>
      </c>
      <c r="F19" s="42" t="s">
        <v>99</v>
      </c>
      <c r="G19" s="43">
        <v>500000</v>
      </c>
      <c r="H19" s="44" t="s">
        <v>100</v>
      </c>
      <c r="I19" s="40">
        <v>50959</v>
      </c>
    </row>
    <row r="20" spans="2:9" s="39" customFormat="1" ht="49.9" customHeight="1" x14ac:dyDescent="0.3">
      <c r="B20" s="40">
        <f t="shared" si="0"/>
        <v>18</v>
      </c>
      <c r="C20" s="40" t="s">
        <v>1</v>
      </c>
      <c r="D20" s="40" t="s">
        <v>131</v>
      </c>
      <c r="E20" s="41" t="s">
        <v>127</v>
      </c>
      <c r="F20" s="42" t="s">
        <v>128</v>
      </c>
      <c r="G20" s="43">
        <v>550000</v>
      </c>
      <c r="H20" s="44" t="s">
        <v>129</v>
      </c>
      <c r="I20" s="40">
        <v>46637</v>
      </c>
    </row>
    <row r="21" spans="2:9" ht="49.9" customHeight="1" x14ac:dyDescent="0.3">
      <c r="B21" s="23">
        <f t="shared" si="0"/>
        <v>19</v>
      </c>
      <c r="C21" s="23" t="s">
        <v>1</v>
      </c>
      <c r="D21" s="23" t="s">
        <v>236</v>
      </c>
      <c r="E21" s="24" t="s">
        <v>237</v>
      </c>
      <c r="F21" s="25" t="s">
        <v>238</v>
      </c>
      <c r="G21" s="35">
        <v>500000</v>
      </c>
      <c r="H21" s="26" t="s">
        <v>239</v>
      </c>
      <c r="I21" s="23">
        <v>46928</v>
      </c>
    </row>
    <row r="22" spans="2:9" ht="49.9" customHeight="1" x14ac:dyDescent="0.3">
      <c r="B22" s="23">
        <f t="shared" si="0"/>
        <v>20</v>
      </c>
      <c r="C22" s="23" t="s">
        <v>88</v>
      </c>
      <c r="D22" s="23" t="s">
        <v>89</v>
      </c>
      <c r="E22" s="24" t="s">
        <v>90</v>
      </c>
      <c r="F22" s="25" t="s">
        <v>91</v>
      </c>
      <c r="G22" s="35">
        <v>700000</v>
      </c>
      <c r="H22" s="26" t="s">
        <v>92</v>
      </c>
      <c r="I22" s="23">
        <v>49511</v>
      </c>
    </row>
    <row r="23" spans="2:9" ht="49.9" customHeight="1" x14ac:dyDescent="0.3">
      <c r="B23" s="23">
        <f t="shared" si="0"/>
        <v>21</v>
      </c>
      <c r="C23" s="23" t="s">
        <v>16</v>
      </c>
      <c r="D23" s="23" t="s">
        <v>16</v>
      </c>
      <c r="E23" s="24" t="s">
        <v>113</v>
      </c>
      <c r="F23" s="25" t="s">
        <v>114</v>
      </c>
      <c r="G23" s="35">
        <v>550000</v>
      </c>
      <c r="H23" s="26" t="s">
        <v>76</v>
      </c>
      <c r="I23" s="23">
        <v>47206</v>
      </c>
    </row>
    <row r="24" spans="2:9" ht="49.9" customHeight="1" x14ac:dyDescent="0.3">
      <c r="B24" s="23">
        <f t="shared" si="0"/>
        <v>22</v>
      </c>
      <c r="C24" s="23" t="s">
        <v>240</v>
      </c>
      <c r="D24" s="23" t="s">
        <v>240</v>
      </c>
      <c r="E24" s="24" t="s">
        <v>133</v>
      </c>
      <c r="F24" s="25" t="s">
        <v>134</v>
      </c>
      <c r="G24" s="35">
        <v>500000</v>
      </c>
      <c r="H24" s="26" t="s">
        <v>135</v>
      </c>
      <c r="I24" s="23">
        <v>50626</v>
      </c>
    </row>
    <row r="25" spans="2:9" ht="49.9" customHeight="1" x14ac:dyDescent="0.3">
      <c r="B25" s="23">
        <f t="shared" si="0"/>
        <v>23</v>
      </c>
      <c r="C25" s="23" t="s">
        <v>25</v>
      </c>
      <c r="D25" s="23" t="s">
        <v>220</v>
      </c>
      <c r="E25" s="24" t="s">
        <v>221</v>
      </c>
      <c r="F25" s="25" t="s">
        <v>222</v>
      </c>
      <c r="G25" s="35">
        <v>500000</v>
      </c>
      <c r="H25" s="26" t="s">
        <v>132</v>
      </c>
      <c r="I25" s="23">
        <v>48798</v>
      </c>
    </row>
    <row r="26" spans="2:9" ht="49.9" hidden="1" customHeight="1" x14ac:dyDescent="0.3">
      <c r="B26" s="23">
        <f t="shared" ref="B26:B27" si="1">B25+1</f>
        <v>24</v>
      </c>
      <c r="C26" s="23" t="s">
        <v>136</v>
      </c>
      <c r="D26" s="23" t="s">
        <v>136</v>
      </c>
      <c r="E26" s="24" t="s">
        <v>137</v>
      </c>
      <c r="F26" s="25" t="s">
        <v>138</v>
      </c>
      <c r="G26" s="23"/>
      <c r="H26" s="26" t="s">
        <v>139</v>
      </c>
      <c r="I26" s="23">
        <v>63257</v>
      </c>
    </row>
    <row r="27" spans="2:9" ht="49.9" hidden="1" customHeight="1" x14ac:dyDescent="0.3">
      <c r="B27" s="23">
        <f t="shared" si="1"/>
        <v>25</v>
      </c>
      <c r="C27" s="23" t="s">
        <v>140</v>
      </c>
      <c r="D27" s="23" t="s">
        <v>140</v>
      </c>
      <c r="E27" s="24" t="s">
        <v>141</v>
      </c>
      <c r="F27" s="25" t="s">
        <v>142</v>
      </c>
      <c r="G27" s="23"/>
      <c r="H27" s="26" t="s">
        <v>143</v>
      </c>
      <c r="I27" s="23">
        <v>48766</v>
      </c>
    </row>
    <row r="28" spans="2:9" x14ac:dyDescent="0.3">
      <c r="G28" s="38">
        <f>SUBTOTAL(109,G3:G25)</f>
        <v>14810000</v>
      </c>
    </row>
  </sheetData>
  <autoFilter ref="B2:I25" xr:uid="{6092F43B-7E66-43C6-B6C5-0EA0C354B4C3}">
    <sortState xmlns:xlrd2="http://schemas.microsoft.com/office/spreadsheetml/2017/richdata2" ref="B3:I25">
      <sortCondition ref="C2:C25"/>
    </sortState>
  </autoFilter>
  <phoneticPr fontId="1" type="noConversion"/>
  <pageMargins left="0.39370078740157483" right="0.39370078740157483" top="1.5748031496062993" bottom="0.78740157480314965" header="0.78740157480314965" footer="0.39370078740157483"/>
  <pageSetup paperSize="9" scale="93" fitToHeight="0" orientation="portrait" horizontalDpi="1200" verticalDpi="1200" r:id="rId1"/>
  <headerFooter>
    <oddHeader>&amp;L
&amp;"HY견고딕,보통"&amp;18【 포교사-1 】&amp;C&amp;"HY견고딕,보통"&amp;18 2020년 청파팀 연말 정산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E5A23-ED8C-49AD-BBC2-9184AD833D91}">
  <sheetPr>
    <pageSetUpPr fitToPage="1"/>
  </sheetPr>
  <dimension ref="A1:I17"/>
  <sheetViews>
    <sheetView tabSelected="1" view="pageBreakPreview" zoomScaleNormal="100" zoomScaleSheetLayoutView="100" workbookViewId="0">
      <pane ySplit="2" topLeftCell="A3" activePane="bottomLeft" state="frozen"/>
      <selection activeCell="H4" sqref="H4"/>
      <selection pane="bottomLeft" activeCell="A3" sqref="A3"/>
    </sheetView>
  </sheetViews>
  <sheetFormatPr defaultRowHeight="16.5" x14ac:dyDescent="0.3"/>
  <cols>
    <col min="2" max="2" width="3.75" customWidth="1"/>
    <col min="3" max="4" width="6.75" bestFit="1" customWidth="1"/>
    <col min="5" max="5" width="10.75" customWidth="1"/>
    <col min="7" max="7" width="10.875" bestFit="1" customWidth="1"/>
    <col min="8" max="8" width="37.75" customWidth="1"/>
  </cols>
  <sheetData>
    <row r="1" spans="1:9" ht="36" customHeight="1" thickTop="1" x14ac:dyDescent="0.3">
      <c r="B1" s="28"/>
      <c r="C1" s="28"/>
      <c r="D1" s="29" t="s">
        <v>130</v>
      </c>
      <c r="E1" s="30"/>
      <c r="F1" s="31"/>
      <c r="G1" s="29"/>
      <c r="H1" s="32"/>
      <c r="I1" s="29"/>
    </row>
    <row r="2" spans="1:9" ht="36" customHeight="1" thickBot="1" x14ac:dyDescent="0.35">
      <c r="A2" t="s">
        <v>200</v>
      </c>
      <c r="B2" s="33" t="s">
        <v>50</v>
      </c>
      <c r="C2" s="33" t="s">
        <v>202</v>
      </c>
      <c r="D2" s="33" t="s">
        <v>52</v>
      </c>
      <c r="E2" s="33" t="s">
        <v>53</v>
      </c>
      <c r="F2" s="34" t="s">
        <v>54</v>
      </c>
      <c r="G2" s="33" t="s">
        <v>55</v>
      </c>
      <c r="H2" s="33" t="s">
        <v>56</v>
      </c>
      <c r="I2" s="33" t="s">
        <v>57</v>
      </c>
    </row>
    <row r="3" spans="1:9" ht="49.9" customHeight="1" thickTop="1" x14ac:dyDescent="0.3">
      <c r="A3" t="s">
        <v>199</v>
      </c>
      <c r="B3" s="23">
        <v>1</v>
      </c>
      <c r="C3" s="23" t="s">
        <v>144</v>
      </c>
      <c r="D3" s="23" t="s">
        <v>156</v>
      </c>
      <c r="E3" s="24" t="s">
        <v>163</v>
      </c>
      <c r="F3" s="25" t="s">
        <v>175</v>
      </c>
      <c r="G3" s="35">
        <v>350000</v>
      </c>
      <c r="H3" s="26" t="s">
        <v>187</v>
      </c>
      <c r="I3" s="23">
        <v>44062</v>
      </c>
    </row>
    <row r="4" spans="1:9" ht="49.9" customHeight="1" x14ac:dyDescent="0.3">
      <c r="A4" t="s">
        <v>199</v>
      </c>
      <c r="B4" s="23">
        <f>B3+1</f>
        <v>2</v>
      </c>
      <c r="C4" s="23" t="s">
        <v>145</v>
      </c>
      <c r="D4" s="23" t="s">
        <v>157</v>
      </c>
      <c r="E4" s="24" t="s">
        <v>164</v>
      </c>
      <c r="F4" s="25" t="s">
        <v>176</v>
      </c>
      <c r="G4" s="35">
        <v>350000</v>
      </c>
      <c r="H4" s="26" t="s">
        <v>188</v>
      </c>
      <c r="I4" s="23">
        <v>47605</v>
      </c>
    </row>
    <row r="5" spans="1:9" ht="49.9" customHeight="1" x14ac:dyDescent="0.3">
      <c r="A5" t="s">
        <v>199</v>
      </c>
      <c r="B5" s="23">
        <f t="shared" ref="B5:B14" si="0">B4+1</f>
        <v>3</v>
      </c>
      <c r="C5" s="23" t="s">
        <v>146</v>
      </c>
      <c r="D5" s="23" t="s">
        <v>146</v>
      </c>
      <c r="E5" s="24" t="s">
        <v>165</v>
      </c>
      <c r="F5" s="25" t="s">
        <v>177</v>
      </c>
      <c r="G5" s="35">
        <v>350000</v>
      </c>
      <c r="H5" s="26" t="s">
        <v>189</v>
      </c>
      <c r="I5" s="23">
        <v>46246</v>
      </c>
    </row>
    <row r="6" spans="1:9" ht="49.9" customHeight="1" x14ac:dyDescent="0.3">
      <c r="A6" t="s">
        <v>199</v>
      </c>
      <c r="B6" s="23">
        <f t="shared" si="0"/>
        <v>4</v>
      </c>
      <c r="C6" s="23" t="s">
        <v>147</v>
      </c>
      <c r="D6" s="23" t="s">
        <v>158</v>
      </c>
      <c r="E6" s="24" t="s">
        <v>166</v>
      </c>
      <c r="F6" s="25" t="s">
        <v>178</v>
      </c>
      <c r="G6" s="35">
        <v>350000</v>
      </c>
      <c r="H6" s="26" t="s">
        <v>190</v>
      </c>
      <c r="I6" s="23">
        <v>47508</v>
      </c>
    </row>
    <row r="7" spans="1:9" ht="49.9" customHeight="1" x14ac:dyDescent="0.3">
      <c r="A7" t="s">
        <v>199</v>
      </c>
      <c r="B7" s="23">
        <f t="shared" si="0"/>
        <v>5</v>
      </c>
      <c r="C7" s="23" t="s">
        <v>148</v>
      </c>
      <c r="D7" s="23" t="s">
        <v>148</v>
      </c>
      <c r="E7" s="24" t="s">
        <v>167</v>
      </c>
      <c r="F7" s="25" t="s">
        <v>179</v>
      </c>
      <c r="G7" s="35">
        <v>350000</v>
      </c>
      <c r="H7" s="26" t="s">
        <v>191</v>
      </c>
      <c r="I7" s="23">
        <v>48405</v>
      </c>
    </row>
    <row r="8" spans="1:9" ht="49.9" customHeight="1" x14ac:dyDescent="0.3">
      <c r="A8" t="s">
        <v>199</v>
      </c>
      <c r="B8" s="23">
        <f t="shared" si="0"/>
        <v>6</v>
      </c>
      <c r="C8" s="23" t="s">
        <v>149</v>
      </c>
      <c r="D8" s="23" t="s">
        <v>159</v>
      </c>
      <c r="E8" s="24" t="s">
        <v>168</v>
      </c>
      <c r="F8" s="25" t="s">
        <v>180</v>
      </c>
      <c r="G8" s="35">
        <v>350000</v>
      </c>
      <c r="H8" s="26" t="s">
        <v>192</v>
      </c>
      <c r="I8" s="23">
        <v>52039</v>
      </c>
    </row>
    <row r="9" spans="1:9" ht="49.9" customHeight="1" x14ac:dyDescent="0.3">
      <c r="A9" t="s">
        <v>199</v>
      </c>
      <c r="B9" s="23">
        <f t="shared" si="0"/>
        <v>7</v>
      </c>
      <c r="C9" s="23" t="s">
        <v>150</v>
      </c>
      <c r="D9" s="23" t="s">
        <v>160</v>
      </c>
      <c r="E9" s="24" t="s">
        <v>169</v>
      </c>
      <c r="F9" s="25" t="s">
        <v>181</v>
      </c>
      <c r="G9" s="35">
        <v>350000</v>
      </c>
      <c r="H9" s="26" t="s">
        <v>193</v>
      </c>
      <c r="I9" s="23">
        <v>48724</v>
      </c>
    </row>
    <row r="10" spans="1:9" ht="49.9" customHeight="1" x14ac:dyDescent="0.3">
      <c r="A10" t="s">
        <v>199</v>
      </c>
      <c r="B10" s="23">
        <f t="shared" si="0"/>
        <v>8</v>
      </c>
      <c r="C10" s="23" t="s">
        <v>151</v>
      </c>
      <c r="D10" s="23" t="s">
        <v>161</v>
      </c>
      <c r="E10" s="24" t="s">
        <v>170</v>
      </c>
      <c r="F10" s="25" t="s">
        <v>182</v>
      </c>
      <c r="G10" s="35">
        <v>350000</v>
      </c>
      <c r="H10" s="26" t="s">
        <v>194</v>
      </c>
      <c r="I10" s="23">
        <v>17336</v>
      </c>
    </row>
    <row r="11" spans="1:9" ht="49.9" customHeight="1" x14ac:dyDescent="0.3">
      <c r="A11" t="s">
        <v>199</v>
      </c>
      <c r="B11" s="23">
        <f t="shared" si="0"/>
        <v>9</v>
      </c>
      <c r="C11" s="23" t="s">
        <v>152</v>
      </c>
      <c r="D11" s="23" t="s">
        <v>162</v>
      </c>
      <c r="E11" s="24" t="s">
        <v>171</v>
      </c>
      <c r="F11" s="25" t="s">
        <v>183</v>
      </c>
      <c r="G11" s="35">
        <v>350000</v>
      </c>
      <c r="H11" s="26" t="s">
        <v>195</v>
      </c>
      <c r="I11" s="23">
        <v>47170</v>
      </c>
    </row>
    <row r="12" spans="1:9" ht="49.9" customHeight="1" x14ac:dyDescent="0.3">
      <c r="A12" t="s">
        <v>199</v>
      </c>
      <c r="B12" s="23">
        <f t="shared" si="0"/>
        <v>10</v>
      </c>
      <c r="C12" s="23" t="s">
        <v>153</v>
      </c>
      <c r="D12" s="23" t="s">
        <v>153</v>
      </c>
      <c r="E12" s="24" t="s">
        <v>172</v>
      </c>
      <c r="F12" s="25" t="s">
        <v>184</v>
      </c>
      <c r="G12" s="35">
        <v>350000</v>
      </c>
      <c r="H12" s="26" t="s">
        <v>196</v>
      </c>
      <c r="I12" s="23">
        <v>47817</v>
      </c>
    </row>
    <row r="13" spans="1:9" ht="49.9" customHeight="1" x14ac:dyDescent="0.3">
      <c r="A13" t="s">
        <v>199</v>
      </c>
      <c r="B13" s="23">
        <f t="shared" si="0"/>
        <v>11</v>
      </c>
      <c r="C13" s="23" t="s">
        <v>154</v>
      </c>
      <c r="D13" s="23" t="s">
        <v>154</v>
      </c>
      <c r="E13" s="24" t="s">
        <v>173</v>
      </c>
      <c r="F13" s="25" t="s">
        <v>185</v>
      </c>
      <c r="G13" s="35">
        <v>350000</v>
      </c>
      <c r="H13" s="26" t="s">
        <v>197</v>
      </c>
      <c r="I13" s="23">
        <v>47536</v>
      </c>
    </row>
    <row r="14" spans="1:9" ht="49.9" customHeight="1" x14ac:dyDescent="0.3">
      <c r="A14" t="s">
        <v>199</v>
      </c>
      <c r="B14" s="23">
        <f t="shared" si="0"/>
        <v>12</v>
      </c>
      <c r="C14" s="23" t="s">
        <v>155</v>
      </c>
      <c r="D14" s="23" t="s">
        <v>155</v>
      </c>
      <c r="E14" s="24" t="s">
        <v>174</v>
      </c>
      <c r="F14" s="25" t="s">
        <v>186</v>
      </c>
      <c r="G14" s="35">
        <v>350000</v>
      </c>
      <c r="H14" s="26" t="s">
        <v>198</v>
      </c>
      <c r="I14" s="23">
        <v>50547</v>
      </c>
    </row>
    <row r="15" spans="1:9" ht="49.9" customHeight="1" x14ac:dyDescent="0.3">
      <c r="A15" t="s">
        <v>199</v>
      </c>
      <c r="B15" s="23">
        <f>B14+1</f>
        <v>13</v>
      </c>
      <c r="C15" s="23" t="s">
        <v>136</v>
      </c>
      <c r="D15" s="23" t="s">
        <v>136</v>
      </c>
      <c r="E15" s="24" t="s">
        <v>137</v>
      </c>
      <c r="F15" s="25" t="s">
        <v>138</v>
      </c>
      <c r="G15" s="35">
        <v>350000</v>
      </c>
      <c r="H15" s="26" t="s">
        <v>139</v>
      </c>
      <c r="I15" s="23">
        <v>63257</v>
      </c>
    </row>
    <row r="16" spans="1:9" ht="49.9" customHeight="1" x14ac:dyDescent="0.3">
      <c r="A16" t="s">
        <v>199</v>
      </c>
      <c r="B16" s="23">
        <f>B15+1</f>
        <v>14</v>
      </c>
      <c r="C16" s="23" t="s">
        <v>140</v>
      </c>
      <c r="D16" s="23" t="s">
        <v>140</v>
      </c>
      <c r="E16" s="24" t="s">
        <v>141</v>
      </c>
      <c r="F16" s="25" t="s">
        <v>142</v>
      </c>
      <c r="G16" s="35">
        <v>350000</v>
      </c>
      <c r="H16" s="26" t="s">
        <v>143</v>
      </c>
      <c r="I16" s="23">
        <v>48766</v>
      </c>
    </row>
    <row r="17" spans="7:7" x14ac:dyDescent="0.3">
      <c r="G17" s="35">
        <f>SUBTOTAL(109,G3:G16)</f>
        <v>4900000</v>
      </c>
    </row>
  </sheetData>
  <autoFilter ref="B2:I2" xr:uid="{6092F43B-7E66-43C6-B6C5-0EA0C354B4C3}">
    <sortState xmlns:xlrd2="http://schemas.microsoft.com/office/spreadsheetml/2017/richdata2" ref="B2:I2">
      <sortCondition ref="C2"/>
    </sortState>
  </autoFilter>
  <phoneticPr fontId="1" type="noConversion"/>
  <pageMargins left="0.39370078740157483" right="0.39370078740157483" top="1.5748031496062993" bottom="0.78740157480314965" header="0.78740157480314965" footer="0.39370078740157483"/>
  <pageSetup paperSize="9" scale="93" fitToHeight="0" orientation="portrait" horizontalDpi="1200" verticalDpi="1200" r:id="rId1"/>
  <headerFooter>
    <oddHeader xml:space="preserve">&amp;L
&amp;"HY견고딕,보통"&amp;18【 법은회 】&amp;C&amp;"HY견고딕,보통"&amp;18 2020년 청파팀 연말 정산 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7278A-4E84-46E7-89E2-75B2A847BBA4}">
  <sheetPr>
    <pageSetUpPr fitToPage="1"/>
  </sheetPr>
  <dimension ref="A1:I6"/>
  <sheetViews>
    <sheetView view="pageBreakPreview" zoomScaleNormal="100" zoomScaleSheetLayoutView="100" workbookViewId="0">
      <pane ySplit="2" topLeftCell="A3" activePane="bottomLeft" state="frozen"/>
      <selection activeCell="M7" sqref="M7"/>
      <selection pane="bottomLeft" activeCell="A2" sqref="A2"/>
    </sheetView>
  </sheetViews>
  <sheetFormatPr defaultRowHeight="16.5" x14ac:dyDescent="0.3"/>
  <cols>
    <col min="2" max="2" width="3.75" customWidth="1"/>
    <col min="3" max="4" width="6.75" bestFit="1" customWidth="1"/>
    <col min="5" max="5" width="10.75" customWidth="1"/>
    <col min="8" max="8" width="37.75" customWidth="1"/>
  </cols>
  <sheetData>
    <row r="1" spans="1:9" ht="36" customHeight="1" thickTop="1" x14ac:dyDescent="0.3">
      <c r="B1" s="28"/>
      <c r="C1" s="28"/>
      <c r="D1" s="29" t="s">
        <v>130</v>
      </c>
      <c r="E1" s="30"/>
      <c r="F1" s="31"/>
      <c r="G1" s="29"/>
      <c r="H1" s="32"/>
      <c r="I1" s="29"/>
    </row>
    <row r="2" spans="1:9" ht="36" customHeight="1" thickBot="1" x14ac:dyDescent="0.35">
      <c r="A2" t="s">
        <v>200</v>
      </c>
      <c r="B2" s="33" t="s">
        <v>50</v>
      </c>
      <c r="C2" s="33" t="s">
        <v>51</v>
      </c>
      <c r="D2" s="33" t="s">
        <v>52</v>
      </c>
      <c r="E2" s="33" t="s">
        <v>53</v>
      </c>
      <c r="F2" s="34" t="s">
        <v>54</v>
      </c>
      <c r="G2" s="33" t="s">
        <v>55</v>
      </c>
      <c r="H2" s="33" t="s">
        <v>56</v>
      </c>
      <c r="I2" s="33" t="s">
        <v>57</v>
      </c>
    </row>
    <row r="3" spans="1:9" ht="49.9" customHeight="1" thickTop="1" x14ac:dyDescent="0.3">
      <c r="B3" s="8">
        <v>1</v>
      </c>
      <c r="C3" s="8" t="s">
        <v>205</v>
      </c>
      <c r="D3" s="8" t="s">
        <v>208</v>
      </c>
      <c r="E3" s="20" t="s">
        <v>211</v>
      </c>
      <c r="F3" s="21" t="s">
        <v>214</v>
      </c>
      <c r="G3" s="35">
        <v>1020000</v>
      </c>
      <c r="H3" s="22" t="s">
        <v>219</v>
      </c>
      <c r="I3" s="8">
        <v>44751</v>
      </c>
    </row>
    <row r="4" spans="1:9" ht="49.9" customHeight="1" x14ac:dyDescent="0.3">
      <c r="B4" s="23">
        <f t="shared" ref="B4:B5" si="0">B3+1</f>
        <v>2</v>
      </c>
      <c r="C4" s="23" t="s">
        <v>206</v>
      </c>
      <c r="D4" s="23" t="s">
        <v>209</v>
      </c>
      <c r="E4" s="24" t="s">
        <v>212</v>
      </c>
      <c r="F4" s="25" t="s">
        <v>215</v>
      </c>
      <c r="G4" s="35">
        <v>1020000</v>
      </c>
      <c r="H4" s="26" t="s">
        <v>217</v>
      </c>
      <c r="I4" s="23">
        <v>47822</v>
      </c>
    </row>
    <row r="5" spans="1:9" ht="49.9" customHeight="1" x14ac:dyDescent="0.3">
      <c r="B5" s="23">
        <f t="shared" si="0"/>
        <v>3</v>
      </c>
      <c r="C5" s="23" t="s">
        <v>207</v>
      </c>
      <c r="D5" s="23" t="s">
        <v>210</v>
      </c>
      <c r="E5" s="24" t="s">
        <v>213</v>
      </c>
      <c r="F5" s="25" t="s">
        <v>216</v>
      </c>
      <c r="G5" s="35">
        <v>1030000</v>
      </c>
      <c r="H5" s="26" t="s">
        <v>218</v>
      </c>
      <c r="I5" s="23">
        <v>48517</v>
      </c>
    </row>
    <row r="6" spans="1:9" x14ac:dyDescent="0.3">
      <c r="G6" s="35">
        <f>SUBTOTAL(109,G3:G5)</f>
        <v>3070000</v>
      </c>
    </row>
  </sheetData>
  <autoFilter ref="B2:I5" xr:uid="{6092F43B-7E66-43C6-B6C5-0EA0C354B4C3}">
    <sortState xmlns:xlrd2="http://schemas.microsoft.com/office/spreadsheetml/2017/richdata2" ref="B3:I5">
      <sortCondition ref="C2:C5"/>
    </sortState>
  </autoFilter>
  <phoneticPr fontId="1" type="noConversion"/>
  <pageMargins left="0.39370078740157483" right="0.39370078740157483" top="1.5748031496062993" bottom="0.78740157480314965" header="0.78740157480314965" footer="0.39370078740157483"/>
  <pageSetup paperSize="9" scale="95" fitToHeight="0" orientation="portrait" horizontalDpi="1200" verticalDpi="1200" r:id="rId1"/>
  <headerFooter>
    <oddHeader>&amp;L&amp;"HY견고딕,보통"&amp;18
【 경덕회 】&amp;C&amp;"HY견고딕,보통"&amp;18 2020년 청파팀 연말 정산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88021-929C-4C73-A9E7-32C974001EEC}">
  <sheetPr>
    <pageSetUpPr fitToPage="1"/>
  </sheetPr>
  <dimension ref="A1:I8"/>
  <sheetViews>
    <sheetView view="pageBreakPreview" zoomScaleNormal="100" zoomScaleSheetLayoutView="100" workbookViewId="0">
      <pane ySplit="2" topLeftCell="A3" activePane="bottomLeft" state="frozen"/>
      <selection activeCell="M7" sqref="M7"/>
      <selection pane="bottomLeft" activeCell="M7" sqref="M7"/>
    </sheetView>
  </sheetViews>
  <sheetFormatPr defaultRowHeight="16.5" x14ac:dyDescent="0.3"/>
  <cols>
    <col min="2" max="2" width="3.75" customWidth="1"/>
    <col min="3" max="4" width="6.75" bestFit="1" customWidth="1"/>
    <col min="5" max="5" width="10.75" customWidth="1"/>
    <col min="8" max="8" width="37.75" customWidth="1"/>
  </cols>
  <sheetData>
    <row r="1" spans="1:9" ht="36" customHeight="1" thickTop="1" x14ac:dyDescent="0.3">
      <c r="B1" s="28"/>
      <c r="C1" s="28"/>
      <c r="D1" s="29" t="s">
        <v>130</v>
      </c>
      <c r="E1" s="30"/>
      <c r="F1" s="31"/>
      <c r="G1" s="29"/>
      <c r="H1" s="32"/>
      <c r="I1" s="29"/>
    </row>
    <row r="2" spans="1:9" ht="36" customHeight="1" thickBot="1" x14ac:dyDescent="0.35">
      <c r="A2" t="s">
        <v>200</v>
      </c>
      <c r="B2" s="33" t="s">
        <v>50</v>
      </c>
      <c r="C2" s="33" t="s">
        <v>51</v>
      </c>
      <c r="D2" s="33" t="s">
        <v>52</v>
      </c>
      <c r="E2" s="33" t="s">
        <v>53</v>
      </c>
      <c r="F2" s="34" t="s">
        <v>54</v>
      </c>
      <c r="G2" s="33" t="s">
        <v>55</v>
      </c>
      <c r="H2" s="33" t="s">
        <v>56</v>
      </c>
      <c r="I2" s="33" t="s">
        <v>57</v>
      </c>
    </row>
    <row r="3" spans="1:9" ht="49.9" customHeight="1" thickTop="1" x14ac:dyDescent="0.3">
      <c r="B3" s="8">
        <v>1</v>
      </c>
      <c r="C3" s="8" t="s">
        <v>30</v>
      </c>
      <c r="D3" s="8" t="s">
        <v>201</v>
      </c>
      <c r="E3" s="20" t="s">
        <v>225</v>
      </c>
      <c r="F3" s="21" t="s">
        <v>116</v>
      </c>
      <c r="G3" s="35"/>
      <c r="H3" s="22" t="s">
        <v>226</v>
      </c>
      <c r="I3" s="8">
        <v>49056</v>
      </c>
    </row>
    <row r="4" spans="1:9" ht="49.9" customHeight="1" x14ac:dyDescent="0.3">
      <c r="B4" s="23">
        <f t="shared" ref="B4:B8" si="0">B3+1</f>
        <v>2</v>
      </c>
      <c r="C4" s="23" t="s">
        <v>1</v>
      </c>
      <c r="D4" s="23" t="s">
        <v>223</v>
      </c>
      <c r="E4" s="24" t="s">
        <v>65</v>
      </c>
      <c r="F4" s="25" t="s">
        <v>66</v>
      </c>
      <c r="G4" s="35"/>
      <c r="H4" s="26"/>
      <c r="I4" s="23"/>
    </row>
    <row r="5" spans="1:9" ht="49.9" customHeight="1" x14ac:dyDescent="0.3">
      <c r="B5" s="23">
        <f t="shared" si="0"/>
        <v>3</v>
      </c>
      <c r="C5" s="23" t="s">
        <v>35</v>
      </c>
      <c r="D5" s="23" t="s">
        <v>119</v>
      </c>
      <c r="E5" s="24" t="s">
        <v>86</v>
      </c>
      <c r="F5" s="25" t="s">
        <v>87</v>
      </c>
      <c r="G5" s="35"/>
      <c r="H5" s="26" t="s">
        <v>120</v>
      </c>
      <c r="I5" s="23">
        <v>14038</v>
      </c>
    </row>
    <row r="6" spans="1:9" ht="49.9" customHeight="1" x14ac:dyDescent="0.3">
      <c r="B6" s="23">
        <f t="shared" si="0"/>
        <v>4</v>
      </c>
      <c r="C6" s="23" t="s">
        <v>39</v>
      </c>
      <c r="D6" s="23" t="s">
        <v>121</v>
      </c>
      <c r="E6" s="24" t="s">
        <v>122</v>
      </c>
      <c r="F6" s="25"/>
      <c r="G6" s="35"/>
      <c r="H6" s="26" t="s">
        <v>227</v>
      </c>
      <c r="I6" s="23">
        <v>47263</v>
      </c>
    </row>
    <row r="7" spans="1:9" ht="49.9" customHeight="1" x14ac:dyDescent="0.3">
      <c r="B7" s="23">
        <f t="shared" si="0"/>
        <v>5</v>
      </c>
      <c r="C7" s="23" t="s">
        <v>39</v>
      </c>
      <c r="D7" s="23" t="s">
        <v>124</v>
      </c>
      <c r="E7" s="24" t="s">
        <v>125</v>
      </c>
      <c r="F7" s="25"/>
      <c r="G7" s="35"/>
      <c r="H7" s="26" t="s">
        <v>228</v>
      </c>
      <c r="I7" s="23">
        <v>48119</v>
      </c>
    </row>
    <row r="8" spans="1:9" ht="49.9" customHeight="1" x14ac:dyDescent="0.3">
      <c r="B8" s="23">
        <f t="shared" si="0"/>
        <v>6</v>
      </c>
      <c r="C8" s="23" t="s">
        <v>1</v>
      </c>
      <c r="D8" s="23" t="s">
        <v>224</v>
      </c>
      <c r="E8" s="24" t="s">
        <v>127</v>
      </c>
      <c r="F8" s="25" t="s">
        <v>128</v>
      </c>
      <c r="G8" s="35"/>
      <c r="H8" s="26" t="s">
        <v>229</v>
      </c>
      <c r="I8" s="23">
        <v>46637</v>
      </c>
    </row>
  </sheetData>
  <autoFilter ref="B2:I8" xr:uid="{6092F43B-7E66-43C6-B6C5-0EA0C354B4C3}">
    <sortState xmlns:xlrd2="http://schemas.microsoft.com/office/spreadsheetml/2017/richdata2" ref="B3:I8">
      <sortCondition ref="C2:C8"/>
    </sortState>
  </autoFilter>
  <phoneticPr fontId="1" type="noConversion"/>
  <pageMargins left="0.39370078740157483" right="0.39370078740157483" top="1.5748031496062993" bottom="0.78740157480314965" header="0.78740157480314965" footer="0.39370078740157483"/>
  <pageSetup paperSize="9" scale="95" fitToHeight="0" orientation="portrait" horizontalDpi="1200" verticalDpi="1200" r:id="rId1"/>
  <headerFooter>
    <oddHeader>&amp;L
&amp;"HY견고딕,보통"&amp;18【 기타 】 &amp;C&amp;"HY견고딕,보통"&amp;18 2020년 청파팀 연말 정산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10</vt:i4>
      </vt:variant>
    </vt:vector>
  </HeadingPairs>
  <TitlesOfParts>
    <vt:vector size="17" baseType="lpstr">
      <vt:lpstr>개정이력</vt:lpstr>
      <vt:lpstr>Sheet1</vt:lpstr>
      <vt:lpstr>Sheet1 (2)</vt:lpstr>
      <vt:lpstr>포교사-1</vt:lpstr>
      <vt:lpstr>법은회</vt:lpstr>
      <vt:lpstr>경덕회</vt:lpstr>
      <vt:lpstr>기타</vt:lpstr>
      <vt:lpstr>Sheet1!Print_Area</vt:lpstr>
      <vt:lpstr>'Sheet1 (2)'!Print_Area</vt:lpstr>
      <vt:lpstr>경덕회!Print_Area</vt:lpstr>
      <vt:lpstr>기타!Print_Area</vt:lpstr>
      <vt:lpstr>법은회!Print_Area</vt:lpstr>
      <vt:lpstr>'포교사-1'!Print_Area</vt:lpstr>
      <vt:lpstr>경덕회!Print_Titles</vt:lpstr>
      <vt:lpstr>기타!Print_Titles</vt:lpstr>
      <vt:lpstr>법은회!Print_Titles</vt:lpstr>
      <vt:lpstr>'포교사-1'!Print_Titles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jaemin Kim</dc:creator>
  <cp:lastModifiedBy>jaemin Kim</cp:lastModifiedBy>
  <cp:lastPrinted>2020-12-25T12:49:35Z</cp:lastPrinted>
  <dcterms:created xsi:type="dcterms:W3CDTF">2015-06-05T18:19:34Z</dcterms:created>
  <dcterms:modified xsi:type="dcterms:W3CDTF">2020-12-25T13:12:02Z</dcterms:modified>
</cp:coreProperties>
</file>